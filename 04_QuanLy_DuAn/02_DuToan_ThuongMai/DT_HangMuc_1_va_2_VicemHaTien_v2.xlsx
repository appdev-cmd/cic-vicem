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ocAnh\2026\01.Project\cic-vicem-erp\Quy trình QLDA\"/>
    </mc:Choice>
  </mc:AlternateContent>
  <bookViews>
    <workbookView xWindow="0" yWindow="0" windowWidth="16380" windowHeight="8190" tabRatio="500" activeTab="5"/>
  </bookViews>
  <sheets>
    <sheet name="TH-TV" sheetId="1" r:id="rId1"/>
    <sheet name="NC-TV" sheetId="2" r:id="rId2"/>
    <sheet name="NC-CT-TV" sheetId="3" r:id="rId3"/>
    <sheet name="Lương" sheetId="4" r:id="rId4"/>
    <sheet name="CPK" sheetId="5" r:id="rId5"/>
    <sheet name="Khấu hao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6" l="1"/>
  <c r="J7" i="6"/>
  <c r="J6" i="6"/>
  <c r="J9" i="6" s="1"/>
  <c r="E7" i="5" s="1"/>
  <c r="E8" i="5" s="1"/>
  <c r="F8" i="1" s="1"/>
  <c r="G9" i="4"/>
  <c r="E9" i="2" s="1"/>
  <c r="G8" i="4"/>
  <c r="E8" i="2" s="1"/>
  <c r="G7" i="4"/>
  <c r="E7" i="2" s="1"/>
  <c r="M17" i="3"/>
  <c r="J17" i="3"/>
  <c r="G17" i="3"/>
  <c r="M16" i="3"/>
  <c r="J16" i="3"/>
  <c r="G16" i="3"/>
  <c r="M15" i="3"/>
  <c r="J15" i="3"/>
  <c r="G15" i="3"/>
  <c r="M14" i="3"/>
  <c r="J14" i="3"/>
  <c r="G14" i="3"/>
  <c r="M12" i="3"/>
  <c r="J12" i="3"/>
  <c r="G12" i="3"/>
  <c r="M11" i="3"/>
  <c r="J11" i="3"/>
  <c r="G11" i="3"/>
  <c r="M10" i="3"/>
  <c r="G10" i="3"/>
  <c r="M9" i="3"/>
  <c r="J9" i="3"/>
  <c r="G9" i="3"/>
  <c r="K6" i="3"/>
  <c r="H6" i="3"/>
  <c r="E6" i="3"/>
  <c r="E20" i="3" l="1"/>
  <c r="D7" i="2" s="1"/>
  <c r="F7" i="2" s="1"/>
  <c r="K20" i="3"/>
  <c r="D9" i="2" s="1"/>
  <c r="F9" i="2" s="1"/>
  <c r="H20" i="3"/>
  <c r="D8" i="2" s="1"/>
  <c r="F8" i="2" s="1"/>
  <c r="F10" i="2" l="1"/>
  <c r="F6" i="1" s="1"/>
  <c r="F7" i="1" l="1"/>
  <c r="F9" i="1" l="1"/>
  <c r="F10" i="1" l="1"/>
  <c r="F11" i="1" s="1"/>
  <c r="F12" i="1" s="1"/>
</calcChain>
</file>

<file path=xl/sharedStrings.xml><?xml version="1.0" encoding="utf-8"?>
<sst xmlns="http://schemas.openxmlformats.org/spreadsheetml/2006/main" count="160" uniqueCount="129">
  <si>
    <t>TỔNG HỢP DỰ TOÁN CHI PHÍ TƯ VẤN</t>
  </si>
  <si>
    <t>HẠNG MỤC 1 VÀ 2: KHẢO SÁT VÀ CẬP NHẬT QUY TRÌNH QLDA
VICEM HÀ TIÊN — CIC TƯ VẤN</t>
  </si>
  <si>
    <t>Đơn vị: Việt Nam Đồng</t>
  </si>
  <si>
    <t>TT</t>
  </si>
  <si>
    <t>Thành phần chi phí</t>
  </si>
  <si>
    <t>Diễn giải</t>
  </si>
  <si>
    <t>Ký hiệu</t>
  </si>
  <si>
    <t>Giá trị</t>
  </si>
  <si>
    <t>Ghi chú</t>
  </si>
  <si>
    <t>Chi phí nhân công</t>
  </si>
  <si>
    <t>Ccg</t>
  </si>
  <si>
    <t>Bảng 1</t>
  </si>
  <si>
    <t>Chi phí quản lý</t>
  </si>
  <si>
    <t>55% × Ccg</t>
  </si>
  <si>
    <t>Cql</t>
  </si>
  <si>
    <t>Chi phí khác</t>
  </si>
  <si>
    <t>Ck</t>
  </si>
  <si>
    <t>Bảng số 4</t>
  </si>
  <si>
    <t>Thu nhập chịu thuế tính trước</t>
  </si>
  <si>
    <t>6% × (Ccg+Cql)</t>
  </si>
  <si>
    <t>TN</t>
  </si>
  <si>
    <t>Thuế giá trị gia tăng</t>
  </si>
  <si>
    <t>8% × (Ccg+Cql+TN+Ck)</t>
  </si>
  <si>
    <t>VAT</t>
  </si>
  <si>
    <t>Tổng giá trị sau thuế</t>
  </si>
  <si>
    <t>Ccg+Cql+TN+Ck+VAT</t>
  </si>
  <si>
    <t>Gst</t>
  </si>
  <si>
    <t>Làm tròn</t>
  </si>
  <si>
    <t>*Ghi chú:</t>
  </si>
  <si>
    <t>1. Chi phí nhân công: tham khảo mức tiền lương theo Thông tư 004/2025/TT-BNV ngày 07/5/2025 của Bộ Nội vụ.</t>
  </si>
  <si>
    <t>2. Chi phí quản lý: căn cứ Thông tư 11/2021/TT-BXD ngày 31/8/2021 của Bộ Xây dựng.</t>
  </si>
  <si>
    <t>3. Thu nhập chịu thuế tính trước và thuế GTGT: căn cứ Thông tư 11/2021/TT-BXD ngày 31/8/2021 của Bộ Xây dựng.</t>
  </si>
  <si>
    <t>BẢNG 1: CHI PHÍ NHÂN CÔNG</t>
  </si>
  <si>
    <t>Đơn vị: Việt Nam đồng</t>
  </si>
  <si>
    <t>Phần việc thực hiện</t>
  </si>
  <si>
    <t>Số công</t>
  </si>
  <si>
    <t>Đơn giá tiền lương</t>
  </si>
  <si>
    <t>Thành tiền</t>
  </si>
  <si>
    <t>(1)</t>
  </si>
  <si>
    <t>(2)</t>
  </si>
  <si>
    <t>(3)</t>
  </si>
  <si>
    <t>(4)</t>
  </si>
  <si>
    <t>(5) = (3) × (4)</t>
  </si>
  <si>
    <t>Chuyên gia tư vấn cao cấp QLDA (Trưởng nhóm)
Chuyên gia nhóm I</t>
  </si>
  <si>
    <t>Chuyên gia quy trình và pháp lý xây dựng (Chuyên gia QLDA)
Chuyên gia nhóm II</t>
  </si>
  <si>
    <t>Chuyên viên soạn thảo và hỗ trợ kỹ thuật
Chuyên gia nhóm IV</t>
  </si>
  <si>
    <t>Tổng chi phí nhân công
Total of labor costs</t>
  </si>
  <si>
    <t>1. Đơn giá tiền lương xem Bảng 3: Bảng phân tích chi tiết tiền lương.</t>
  </si>
  <si>
    <t>2. Chi phí nhân công: tham khảo mức tiền lương theo Thông tư 004/2025/TT-BNV ngày 07/5/2025 của Bộ Nội vụ.</t>
  </si>
  <si>
    <t>BẢNG 2: CHI PHÍ NHÂN CÔNG CHI TIẾT</t>
  </si>
  <si>
    <t>Hạng mục công việc</t>
  </si>
  <si>
    <t>Sản phẩm / Kết quả bàn giao</t>
  </si>
  <si>
    <t>Thời gian công thực hiện</t>
  </si>
  <si>
    <t>Số người</t>
  </si>
  <si>
    <t>Số ngày</t>
  </si>
  <si>
    <t>1</t>
  </si>
  <si>
    <t>HẠNG MỤC 1: KHẢO SÁT VÀ ĐÁNH GIÁ HIỆN TRẠNG TOÀN DIỆN</t>
  </si>
  <si>
    <t>1.1</t>
  </si>
  <si>
    <t>Rà soát 6 quy trình QLDA và bộ biểu mẫu đính kèm;
Đối chiếu từng điều khoản với 5 văn bản pháp lý mới
(Luật XD 135/2025, các Nghị định hướng dẫn)</t>
  </si>
  <si>
    <t>Bảng phân tích khoảng cách pháp lý chi tiết
(Gap Analysis)</t>
  </si>
  <si>
    <t>5 ngày làm việc</t>
  </si>
  <si>
    <t>1.2</t>
  </si>
  <si>
    <t>Khảo sát thực địa tại Vicem Hà Tiên:
Phỏng vấn sâu 5 đầu mối (Ban QLDA, KHTH, Kỹ thuật, Kế toán, Pháp chế);
Đánh giá quy trình vận hành thực tế so với văn bản;
Khảo sát hạ tầng CNTT (phần mềm, dữ liệu, chữ ký số)</t>
  </si>
  <si>
    <t>Biên bản khảo sát thực địa;
Danh mục điểm nghẽn, bước thừa/thiếu trong luồng CV</t>
  </si>
  <si>
    <t>1.3</t>
  </si>
  <si>
    <t>Thu thập và xác định yêu cầu nghiệp vụ cho phần mềm QLDA:
Xác định danh mục quy trình cần số hóa;
Xác định luồng dữ liệu, báo cáo, phân quyền cần thiết</t>
  </si>
  <si>
    <t>Tài liệu Đặc tả Yêu cầu Nghiệp vụ (BRD)
cho phần mềm QLDA</t>
  </si>
  <si>
    <t>1.4</t>
  </si>
  <si>
    <t>Tổng hợp, viết báo cáo khảo sát hiện trạng chính thức;
Lập danh mục đầy đủ quy trình cần sửa đổi và ban hành mới</t>
  </si>
  <si>
    <t>Báo cáo khảo sát hiện trạng chi tiết (phiên bản chính thức);
Danh mục quy trình cần sửa đổi/bổ sung</t>
  </si>
  <si>
    <t>2</t>
  </si>
  <si>
    <t>HẠNG MỤC 2: CẬP NHẬT VÀ BỔ SUNG HỆ THỐNG QUY TRÌNH QLDA</t>
  </si>
  <si>
    <t>2.1</t>
  </si>
  <si>
    <t>Sửa đổi và cập nhật 6 quy trình QLDA hiện có:
QT 34 (Tổng thể), QT 35 (Đấu thầu-HĐ), QT 36 (CL Chuẩn bị ĐT),
QT 37 (Thực hiện HĐ), QT 16 (Chất lượng ĐTXD), QT 161 (Số hóa-LT);
Cập nhật căn cứ PL, bổ sung BIM/CDE, ký số</t>
  </si>
  <si>
    <t>6 quy trình QLDA đã cập nhật theo Luật XD 135/2025
và các Nghị định hướng dẫn</t>
  </si>
  <si>
    <t>2.2</t>
  </si>
  <si>
    <t>Xây dựng và ban hành 4-6 quy trình QLDA mới:
(1) Quản lý BIM/CDE;  (2) Giải quyết tranh chấp HĐ;
(3) Quản lý chi phí và rủi ro tài chính;
(4) Giám sát, đánh giá dự án định kỳ;
(5) Quản lý ATLĐ và môi trường;  (6) Bàn giao, bảo hành, BT CT</t>
  </si>
  <si>
    <t>4-6 quy trình QLDA mới ban hành
theo yêu cầu Luật Xây dựng 2025</t>
  </si>
  <si>
    <t>2.3</t>
  </si>
  <si>
    <t>Cập nhật và ban hành mới toàn bộ biểu mẫu:
Chuyển 100% biểu mẫu sang định dạng điện tử;
Cập nhật căn cứ pháp lý; Bổ sung BM theo quy trình mới;
Hỗ trợ tích hợp luồng chữ ký số</t>
  </si>
  <si>
    <t>Bộ biểu mẫu điện tử hoàn chỉnh
(đã cập nhật + ban hành mới)</t>
  </si>
  <si>
    <t>2.4</t>
  </si>
  <si>
    <t>Tổ chức tập huấn áp dụng quy trình mới:
Đào tạo Ban QLDA, phòng KHTH, Kỹ thuật, Kế toán, Pháp chế;
Hướng dẫn vận hành thực tế; Giải đáp thắc mắc sau tập huấn</t>
  </si>
  <si>
    <t>Buổi tập huấn quy trình mới;
Tài liệu hướng dẫn áp dụng từng quy trình</t>
  </si>
  <si>
    <t>2 ngày làm việc</t>
  </si>
  <si>
    <t>Tổng cộng (HM1 + HM2)</t>
  </si>
  <si>
    <t>BẢNG 3: BẢNG PHÂN TÍCH CHI TIẾT CHI PHÍ LƯƠNG</t>
  </si>
  <si>
    <t>Chức danh chuyên gia</t>
  </si>
  <si>
    <t>Số lượng</t>
  </si>
  <si>
    <t>Nhóm chuyên gia</t>
  </si>
  <si>
    <t>Lương tháng (đồng)</t>
  </si>
  <si>
    <t>Lương ngày (đồng)</t>
  </si>
  <si>
    <t>Chuyên gia tư vấn cao cấp QLDA
(Trưởng nhóm — Nhóm I)</t>
  </si>
  <si>
    <t>Kỹ sư cao cấp, chủ nhiệm dự án</t>
  </si>
  <si>
    <t>Chuyên gia quy trình và pháp lý xây dựng
(Chuyên gia QLDA — Nhóm II)</t>
  </si>
  <si>
    <t>Kỹ sư chính, chủ nhiệm bộ môn</t>
  </si>
  <si>
    <t>Chuyên viên soạn thảo và hỗ trợ kỹ thuật
(Nhóm IV)</t>
  </si>
  <si>
    <t>Kỹ sư</t>
  </si>
  <si>
    <t>*Ghi chú: Mức lương tham khảo theo Thông tư 004/2025/TT-BNV ngày 07/5/2025 của Bộ Nội vụ về chế độ tiền lương chuyên gia tư vấn.</t>
  </si>
  <si>
    <t>BẢNG 4: CHI PHÍ KHÁC</t>
  </si>
  <si>
    <t>Đơn vị tính: đồng</t>
  </si>
  <si>
    <t>STT</t>
  </si>
  <si>
    <t>Nội dung</t>
  </si>
  <si>
    <t>Diễn giải cách tính</t>
  </si>
  <si>
    <t>Chi phí đi lại, công tác phí
(Khảo sát thực địa tại Hà Tiên / TP.HCM)</t>
  </si>
  <si>
    <t>Vé máy bay khứ hồi + phụ cấp công tác
× số ngày khảo sát thực địa (Tạm tính)</t>
  </si>
  <si>
    <t>Tham khảo giá thị trường</t>
  </si>
  <si>
    <t>Chi phí in ấn, văn phòng phẩm
(Quy trình, biểu mẫu bàn giao)</t>
  </si>
  <si>
    <t>In ấn bộ quy trình + biểu mẫu bàn giao chính thức
(Tạm tính)</t>
  </si>
  <si>
    <t>Chi phí khấu hao thiết bị văn phòng
(Máy tính xách tay, máy in)</t>
  </si>
  <si>
    <t>Chi tiết tại Bảng 5</t>
  </si>
  <si>
    <t>Tổng cộng:</t>
  </si>
  <si>
    <t>BẢNG 5: CHI TIẾT KHẤU HAO MÁY MÓC, THIẾT BỊ</t>
  </si>
  <si>
    <t>Stt</t>
  </si>
  <si>
    <t>Danh mục thiết bị</t>
  </si>
  <si>
    <t>Đơn vị</t>
  </si>
  <si>
    <t>Đơn giá TB (Đồng)</t>
  </si>
  <si>
    <t>Thời gian KH (tháng)</t>
  </si>
  <si>
    <t>Hệ số SD</t>
  </si>
  <si>
    <t>KH vào dự án (tháng)</t>
  </si>
  <si>
    <t>Chi phí KH (Đồng)</t>
  </si>
  <si>
    <t>Máy tính xách tay</t>
  </si>
  <si>
    <t>Cái</t>
  </si>
  <si>
    <t>Máy tính để bàn</t>
  </si>
  <si>
    <t>Máy in</t>
  </si>
  <si>
    <t>Tổng</t>
  </si>
  <si>
    <t>Cách tính khấu hao theo Thông tư 45/2013/TT-BTC ngày 25/4/2013 của Bộ Tài chính.</t>
  </si>
  <si>
    <t>5 ngày LV không liên tục</t>
  </si>
  <si>
    <t>5 ngày (kể cả di chuyển)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</si>
</sst>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;\-"/>
    <numFmt numFmtId="165" formatCode="#,##0.##;\(#,##0.##\);\-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Times New Roman"/>
      <charset val="1"/>
    </font>
    <font>
      <b/>
      <sz val="11"/>
      <color rgb="FF000000"/>
      <name val="Times New Roman"/>
      <charset val="1"/>
    </font>
    <font>
      <i/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3"/>
      <color rgb="FF000000"/>
      <name val="Times New Roman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2"/>
      <color rgb="FF0000FF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FFF99"/>
        <bgColor rgb="FFFFFFCC"/>
      </patternFill>
    </fill>
    <fill>
      <patternFill patternType="solid">
        <fgColor rgb="FF8DB4E2"/>
        <bgColor rgb="FF9999FF"/>
      </patternFill>
    </fill>
    <fill>
      <patternFill patternType="solid">
        <fgColor rgb="FFD9E1F2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4" fontId="10" fillId="3" borderId="1" xfId="0" applyNumberFormat="1" applyFont="1" applyFill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"/>
  <sheetViews>
    <sheetView zoomScaleNormal="100" workbookViewId="0">
      <selection activeCell="F6" sqref="F6"/>
    </sheetView>
  </sheetViews>
  <sheetFormatPr defaultColWidth="8.7109375" defaultRowHeight="15" x14ac:dyDescent="0.25"/>
  <cols>
    <col min="1" max="1" width="3" customWidth="1"/>
    <col min="2" max="2" width="6" customWidth="1"/>
    <col min="3" max="3" width="34" customWidth="1"/>
    <col min="4" max="4" width="32" customWidth="1"/>
    <col min="5" max="5" width="10" customWidth="1"/>
    <col min="6" max="6" width="22" customWidth="1"/>
    <col min="7" max="7" width="15" customWidth="1"/>
  </cols>
  <sheetData>
    <row r="1" spans="2:7" ht="3.75" customHeight="1" x14ac:dyDescent="0.25"/>
    <row r="2" spans="2:7" ht="18" customHeight="1" x14ac:dyDescent="0.25">
      <c r="B2" s="19" t="s">
        <v>0</v>
      </c>
      <c r="C2" s="19"/>
      <c r="D2" s="19"/>
      <c r="E2" s="19"/>
      <c r="F2" s="19"/>
      <c r="G2" s="19"/>
    </row>
    <row r="3" spans="2:7" ht="36" customHeight="1" x14ac:dyDescent="0.25">
      <c r="B3" s="20" t="s">
        <v>1</v>
      </c>
      <c r="C3" s="20"/>
      <c r="D3" s="20"/>
      <c r="E3" s="20"/>
      <c r="F3" s="20"/>
      <c r="G3" s="20"/>
    </row>
    <row r="4" spans="2:7" ht="15.75" customHeight="1" x14ac:dyDescent="0.25">
      <c r="F4" s="21" t="s">
        <v>2</v>
      </c>
      <c r="G4" s="21"/>
    </row>
    <row r="5" spans="2:7" ht="19.5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2:7" ht="18" customHeight="1" x14ac:dyDescent="0.25">
      <c r="B6" s="2">
        <v>1</v>
      </c>
      <c r="C6" s="3" t="s">
        <v>9</v>
      </c>
      <c r="D6" s="2"/>
      <c r="E6" s="2" t="s">
        <v>10</v>
      </c>
      <c r="F6" s="9">
        <f>'NC-TV'!F10</f>
        <v>205384615.38461536</v>
      </c>
      <c r="G6" s="2" t="s">
        <v>11</v>
      </c>
    </row>
    <row r="7" spans="2:7" ht="18" customHeight="1" x14ac:dyDescent="0.25">
      <c r="B7" s="2">
        <v>2</v>
      </c>
      <c r="C7" s="3" t="s">
        <v>12</v>
      </c>
      <c r="D7" s="4" t="s">
        <v>13</v>
      </c>
      <c r="E7" s="2" t="s">
        <v>14</v>
      </c>
      <c r="F7" s="9">
        <f>0.55*F6</f>
        <v>112961538.46153846</v>
      </c>
      <c r="G7" s="2"/>
    </row>
    <row r="8" spans="2:7" ht="18" customHeight="1" x14ac:dyDescent="0.25">
      <c r="B8" s="2">
        <v>3</v>
      </c>
      <c r="C8" s="3" t="s">
        <v>15</v>
      </c>
      <c r="D8" s="2"/>
      <c r="E8" s="2" t="s">
        <v>16</v>
      </c>
      <c r="F8" s="9">
        <f>CPK!E8</f>
        <v>38306666.666666664</v>
      </c>
      <c r="G8" s="2" t="s">
        <v>17</v>
      </c>
    </row>
    <row r="9" spans="2:7" ht="18" customHeight="1" x14ac:dyDescent="0.25">
      <c r="B9" s="2">
        <v>4</v>
      </c>
      <c r="C9" s="3" t="s">
        <v>18</v>
      </c>
      <c r="D9" s="4" t="s">
        <v>19</v>
      </c>
      <c r="E9" s="2" t="s">
        <v>20</v>
      </c>
      <c r="F9" s="9">
        <f>6%*(F6+F7)</f>
        <v>19100769.230769232</v>
      </c>
      <c r="G9" s="2"/>
    </row>
    <row r="10" spans="2:7" ht="18" customHeight="1" x14ac:dyDescent="0.25">
      <c r="B10" s="2">
        <v>5</v>
      </c>
      <c r="C10" s="3" t="s">
        <v>21</v>
      </c>
      <c r="D10" s="4" t="s">
        <v>22</v>
      </c>
      <c r="E10" s="2" t="s">
        <v>23</v>
      </c>
      <c r="F10" s="9">
        <f>(F6+F7+F8+F9)*8%</f>
        <v>30060287.17948718</v>
      </c>
      <c r="G10" s="2"/>
    </row>
    <row r="11" spans="2:7" ht="18" customHeight="1" x14ac:dyDescent="0.25">
      <c r="B11" s="3"/>
      <c r="C11" s="5" t="s">
        <v>24</v>
      </c>
      <c r="D11" s="2" t="s">
        <v>25</v>
      </c>
      <c r="E11" s="2" t="s">
        <v>26</v>
      </c>
      <c r="F11" s="16">
        <f>SUM(F6:F10)</f>
        <v>405813876.92307693</v>
      </c>
      <c r="G11" s="3"/>
    </row>
    <row r="12" spans="2:7" ht="18" customHeight="1" x14ac:dyDescent="0.25">
      <c r="B12" s="6"/>
      <c r="C12" s="7" t="s">
        <v>27</v>
      </c>
      <c r="D12" s="6"/>
      <c r="E12" s="6"/>
      <c r="F12" s="16">
        <f>ROUNDDOWN(F11,-5)</f>
        <v>405800000</v>
      </c>
      <c r="G12" s="6"/>
    </row>
    <row r="13" spans="2:7" ht="13.5" customHeight="1" x14ac:dyDescent="0.25">
      <c r="B13" s="22" t="s">
        <v>28</v>
      </c>
      <c r="C13" s="22"/>
      <c r="D13" s="22"/>
      <c r="E13" s="22"/>
      <c r="F13" s="22"/>
      <c r="G13" s="22"/>
    </row>
    <row r="14" spans="2:7" ht="27.75" customHeight="1" x14ac:dyDescent="0.25">
      <c r="B14" s="18" t="s">
        <v>29</v>
      </c>
      <c r="C14" s="18"/>
      <c r="D14" s="18"/>
      <c r="E14" s="18"/>
      <c r="F14" s="18"/>
      <c r="G14" s="18"/>
    </row>
    <row r="15" spans="2:7" ht="19.5" customHeight="1" x14ac:dyDescent="0.25">
      <c r="B15" s="18" t="s">
        <v>30</v>
      </c>
      <c r="C15" s="18"/>
      <c r="D15" s="18"/>
      <c r="E15" s="18"/>
      <c r="F15" s="18"/>
      <c r="G15" s="18"/>
    </row>
    <row r="16" spans="2:7" ht="27.75" customHeight="1" x14ac:dyDescent="0.25">
      <c r="B16" s="18" t="s">
        <v>31</v>
      </c>
      <c r="C16" s="18"/>
      <c r="D16" s="18"/>
      <c r="E16" s="18"/>
      <c r="F16" s="18"/>
      <c r="G16" s="18"/>
    </row>
  </sheetData>
  <mergeCells count="7">
    <mergeCell ref="B15:G15"/>
    <mergeCell ref="B16:G16"/>
    <mergeCell ref="B2:G2"/>
    <mergeCell ref="B3:G3"/>
    <mergeCell ref="F4:G4"/>
    <mergeCell ref="B13:G13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zoomScaleNormal="100" workbookViewId="0">
      <selection activeCell="D7" sqref="D7"/>
    </sheetView>
  </sheetViews>
  <sheetFormatPr defaultColWidth="8.7109375" defaultRowHeight="15" x14ac:dyDescent="0.25"/>
  <cols>
    <col min="1" max="1" width="3" customWidth="1"/>
    <col min="2" max="2" width="6" customWidth="1"/>
    <col min="3" max="3" width="58" customWidth="1"/>
    <col min="4" max="4" width="12" customWidth="1"/>
    <col min="5" max="6" width="22" customWidth="1"/>
  </cols>
  <sheetData>
    <row r="1" spans="2:6" ht="3.75" customHeight="1" x14ac:dyDescent="0.25"/>
    <row r="2" spans="2:6" ht="18" customHeight="1" x14ac:dyDescent="0.25">
      <c r="B2" s="23" t="s">
        <v>32</v>
      </c>
      <c r="C2" s="23"/>
      <c r="D2" s="23"/>
      <c r="E2" s="23"/>
      <c r="F2" s="23"/>
    </row>
    <row r="3" spans="2:6" ht="36" customHeight="1" x14ac:dyDescent="0.25">
      <c r="B3" s="20" t="s">
        <v>1</v>
      </c>
      <c r="C3" s="20"/>
      <c r="D3" s="20"/>
      <c r="E3" s="20"/>
      <c r="F3" s="20"/>
    </row>
    <row r="4" spans="2:6" ht="15.75" customHeight="1" x14ac:dyDescent="0.25">
      <c r="E4" s="21" t="s">
        <v>33</v>
      </c>
      <c r="F4" s="21"/>
    </row>
    <row r="5" spans="2:6" ht="25.5" customHeight="1" x14ac:dyDescent="0.25">
      <c r="B5" s="1" t="s">
        <v>3</v>
      </c>
      <c r="C5" s="1" t="s">
        <v>34</v>
      </c>
      <c r="D5" s="1" t="s">
        <v>35</v>
      </c>
      <c r="E5" s="1" t="s">
        <v>36</v>
      </c>
      <c r="F5" s="1" t="s">
        <v>37</v>
      </c>
    </row>
    <row r="6" spans="2:6" ht="21.75" customHeight="1" x14ac:dyDescent="0.25"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</row>
    <row r="7" spans="2:6" ht="39.75" customHeight="1" x14ac:dyDescent="0.25">
      <c r="B7" s="2">
        <v>1</v>
      </c>
      <c r="C7" s="3" t="s">
        <v>43</v>
      </c>
      <c r="D7" s="2">
        <f>'NC-CT-TV'!E20</f>
        <v>35</v>
      </c>
      <c r="E7" s="9">
        <f>Lương!G7</f>
        <v>2307692.3076923075</v>
      </c>
      <c r="F7" s="9">
        <f>D7*E7</f>
        <v>80769230.769230768</v>
      </c>
    </row>
    <row r="8" spans="2:6" ht="39.75" customHeight="1" x14ac:dyDescent="0.25">
      <c r="B8" s="2">
        <v>2</v>
      </c>
      <c r="C8" s="3" t="s">
        <v>44</v>
      </c>
      <c r="D8" s="2">
        <f>'NC-CT-TV'!H20</f>
        <v>64</v>
      </c>
      <c r="E8" s="9">
        <f>Lương!G8</f>
        <v>1538461.5384615385</v>
      </c>
      <c r="F8" s="9">
        <f>D8*E8</f>
        <v>98461538.461538464</v>
      </c>
    </row>
    <row r="9" spans="2:6" ht="39.75" customHeight="1" x14ac:dyDescent="0.25">
      <c r="B9" s="2">
        <v>3</v>
      </c>
      <c r="C9" s="3" t="s">
        <v>45</v>
      </c>
      <c r="D9" s="2">
        <f>'NC-CT-TV'!K20</f>
        <v>34</v>
      </c>
      <c r="E9" s="9">
        <f>Lương!G9</f>
        <v>769230.76923076925</v>
      </c>
      <c r="F9" s="9">
        <f>D9*E9</f>
        <v>26153846.153846156</v>
      </c>
    </row>
    <row r="10" spans="2:6" ht="36" customHeight="1" x14ac:dyDescent="0.25">
      <c r="B10" s="24" t="s">
        <v>46</v>
      </c>
      <c r="C10" s="24"/>
      <c r="D10" s="24"/>
      <c r="E10" s="6"/>
      <c r="F10" s="16">
        <f>SUM(F7:F9)</f>
        <v>205384615.38461536</v>
      </c>
    </row>
    <row r="11" spans="2:6" ht="13.5" customHeight="1" x14ac:dyDescent="0.25">
      <c r="B11" s="22" t="s">
        <v>28</v>
      </c>
      <c r="C11" s="22"/>
      <c r="D11" s="22"/>
      <c r="E11" s="22"/>
      <c r="F11" s="22"/>
    </row>
    <row r="12" spans="2:6" ht="30" customHeight="1" x14ac:dyDescent="0.25">
      <c r="B12" s="18" t="s">
        <v>47</v>
      </c>
      <c r="C12" s="18"/>
      <c r="D12" s="18"/>
      <c r="E12" s="18"/>
      <c r="F12" s="18"/>
    </row>
    <row r="13" spans="2:6" ht="30" customHeight="1" x14ac:dyDescent="0.25">
      <c r="B13" s="18" t="s">
        <v>48</v>
      </c>
      <c r="C13" s="18"/>
      <c r="D13" s="18"/>
      <c r="E13" s="18"/>
      <c r="F13" s="18"/>
    </row>
  </sheetData>
  <mergeCells count="7">
    <mergeCell ref="B12:F12"/>
    <mergeCell ref="B13:F13"/>
    <mergeCell ref="B2:F2"/>
    <mergeCell ref="B3:F3"/>
    <mergeCell ref="E4:F4"/>
    <mergeCell ref="B10:D10"/>
    <mergeCell ref="B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topLeftCell="A4" zoomScaleNormal="100" workbookViewId="0">
      <selection activeCell="D12" sqref="D12"/>
    </sheetView>
  </sheetViews>
  <sheetFormatPr defaultColWidth="8.7109375" defaultRowHeight="15" x14ac:dyDescent="0.25"/>
  <cols>
    <col min="1" max="1" width="3" customWidth="1"/>
    <col min="2" max="2" width="8" customWidth="1"/>
    <col min="3" max="3" width="58" customWidth="1"/>
    <col min="4" max="4" width="44" customWidth="1"/>
    <col min="5" max="13" width="9" customWidth="1"/>
    <col min="14" max="14" width="30" customWidth="1"/>
  </cols>
  <sheetData>
    <row r="1" spans="2:14" ht="3.75" customHeight="1" x14ac:dyDescent="0.25"/>
    <row r="2" spans="2:14" ht="18" customHeight="1" x14ac:dyDescent="0.25">
      <c r="B2" s="23" t="s">
        <v>49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2:14" ht="36" customHeight="1" x14ac:dyDescent="0.25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2:14" ht="3.75" customHeight="1" x14ac:dyDescent="0.25"/>
    <row r="5" spans="2:14" ht="18" customHeight="1" x14ac:dyDescent="0.25">
      <c r="B5" s="26" t="s">
        <v>3</v>
      </c>
      <c r="C5" s="26" t="s">
        <v>50</v>
      </c>
      <c r="D5" s="26" t="s">
        <v>51</v>
      </c>
      <c r="E5" s="26" t="s">
        <v>52</v>
      </c>
      <c r="F5" s="26"/>
      <c r="G5" s="26"/>
      <c r="H5" s="26"/>
      <c r="I5" s="26"/>
      <c r="J5" s="26"/>
      <c r="K5" s="26"/>
      <c r="L5" s="26"/>
      <c r="M5" s="26"/>
      <c r="N5" s="26" t="s">
        <v>8</v>
      </c>
    </row>
    <row r="6" spans="2:14" ht="60" customHeight="1" x14ac:dyDescent="0.25">
      <c r="B6" s="26"/>
      <c r="C6" s="26"/>
      <c r="D6" s="26"/>
      <c r="E6" s="27" t="str">
        <f>Lương!C7</f>
        <v>Chuyên gia tư vấn cao cấp QLDA
(Trưởng nhóm — Nhóm I)</v>
      </c>
      <c r="F6" s="27"/>
      <c r="G6" s="27"/>
      <c r="H6" s="27" t="str">
        <f>Lương!C8</f>
        <v>Chuyên gia quy trình và pháp lý xây dựng
(Chuyên gia QLDA — Nhóm II)</v>
      </c>
      <c r="I6" s="27"/>
      <c r="J6" s="27"/>
      <c r="K6" s="27" t="str">
        <f>Lương!C9</f>
        <v>Chuyên viên soạn thảo và hỗ trợ kỹ thuật
(Nhóm IV)</v>
      </c>
      <c r="L6" s="27"/>
      <c r="M6" s="27"/>
      <c r="N6" s="26"/>
    </row>
    <row r="7" spans="2:14" ht="18" customHeight="1" x14ac:dyDescent="0.25">
      <c r="B7" s="26"/>
      <c r="C7" s="26"/>
      <c r="D7" s="26"/>
      <c r="E7" s="10" t="s">
        <v>53</v>
      </c>
      <c r="F7" s="10" t="s">
        <v>54</v>
      </c>
      <c r="G7" s="10" t="s">
        <v>35</v>
      </c>
      <c r="H7" s="10" t="s">
        <v>53</v>
      </c>
      <c r="I7" s="10" t="s">
        <v>54</v>
      </c>
      <c r="J7" s="10" t="s">
        <v>35</v>
      </c>
      <c r="K7" s="10" t="s">
        <v>53</v>
      </c>
      <c r="L7" s="10" t="s">
        <v>54</v>
      </c>
      <c r="M7" s="10" t="s">
        <v>35</v>
      </c>
      <c r="N7" s="26"/>
    </row>
    <row r="8" spans="2:14" ht="18" customHeight="1" x14ac:dyDescent="0.25">
      <c r="B8" s="11" t="s">
        <v>55</v>
      </c>
      <c r="C8" s="25" t="s">
        <v>56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2:14" ht="79.5" customHeight="1" x14ac:dyDescent="0.25">
      <c r="B9" s="2" t="s">
        <v>57</v>
      </c>
      <c r="C9" s="12" t="s">
        <v>58</v>
      </c>
      <c r="D9" s="12" t="s">
        <v>59</v>
      </c>
      <c r="E9" s="2">
        <v>1</v>
      </c>
      <c r="F9" s="2">
        <v>5</v>
      </c>
      <c r="G9" s="2">
        <f>F9*E9</f>
        <v>5</v>
      </c>
      <c r="H9" s="2">
        <v>2</v>
      </c>
      <c r="I9" s="2">
        <v>5</v>
      </c>
      <c r="J9" s="2">
        <f>I9*H9</f>
        <v>10</v>
      </c>
      <c r="K9" s="2">
        <v>2</v>
      </c>
      <c r="L9" s="2">
        <v>5</v>
      </c>
      <c r="M9" s="2">
        <f>L9*K9</f>
        <v>10</v>
      </c>
      <c r="N9" s="13" t="s">
        <v>60</v>
      </c>
    </row>
    <row r="10" spans="2:14" ht="79.5" customHeight="1" x14ac:dyDescent="0.25">
      <c r="B10" s="2" t="s">
        <v>61</v>
      </c>
      <c r="C10" s="12" t="s">
        <v>62</v>
      </c>
      <c r="D10" s="12" t="s">
        <v>63</v>
      </c>
      <c r="E10" s="2">
        <v>1</v>
      </c>
      <c r="F10" s="2">
        <v>5</v>
      </c>
      <c r="G10" s="2">
        <f>F10*E10</f>
        <v>5</v>
      </c>
      <c r="H10" s="2"/>
      <c r="I10" s="2"/>
      <c r="J10" s="2"/>
      <c r="K10" s="2">
        <v>1</v>
      </c>
      <c r="L10" s="2">
        <v>5</v>
      </c>
      <c r="M10" s="2">
        <f>L10*K10</f>
        <v>5</v>
      </c>
      <c r="N10" s="13" t="s">
        <v>128</v>
      </c>
    </row>
    <row r="11" spans="2:14" ht="79.5" customHeight="1" x14ac:dyDescent="0.25">
      <c r="B11" s="2" t="s">
        <v>64</v>
      </c>
      <c r="C11" s="12" t="s">
        <v>65</v>
      </c>
      <c r="D11" s="12" t="s">
        <v>66</v>
      </c>
      <c r="E11" s="2">
        <v>1</v>
      </c>
      <c r="F11" s="2">
        <v>5</v>
      </c>
      <c r="G11" s="2">
        <f>F11*E11</f>
        <v>5</v>
      </c>
      <c r="H11" s="2">
        <v>2</v>
      </c>
      <c r="I11" s="2">
        <v>5</v>
      </c>
      <c r="J11" s="2">
        <f>I11*H11</f>
        <v>10</v>
      </c>
      <c r="K11" s="2">
        <v>2</v>
      </c>
      <c r="L11" s="2">
        <v>5</v>
      </c>
      <c r="M11" s="2">
        <f>L11*K11</f>
        <v>10</v>
      </c>
      <c r="N11" s="13" t="s">
        <v>60</v>
      </c>
    </row>
    <row r="12" spans="2:14" ht="79.5" customHeight="1" x14ac:dyDescent="0.25">
      <c r="B12" s="2" t="s">
        <v>67</v>
      </c>
      <c r="C12" s="12" t="s">
        <v>68</v>
      </c>
      <c r="D12" s="12" t="s">
        <v>69</v>
      </c>
      <c r="E12" s="2">
        <v>1</v>
      </c>
      <c r="F12" s="2">
        <v>5</v>
      </c>
      <c r="G12" s="2">
        <f>F12*E12</f>
        <v>5</v>
      </c>
      <c r="H12" s="2">
        <v>2</v>
      </c>
      <c r="I12" s="2">
        <v>5</v>
      </c>
      <c r="J12" s="2">
        <f>I12*H12</f>
        <v>10</v>
      </c>
      <c r="K12" s="2">
        <v>2</v>
      </c>
      <c r="L12" s="2">
        <v>5</v>
      </c>
      <c r="M12" s="2">
        <f>L12*K12</f>
        <v>10</v>
      </c>
      <c r="N12" s="13" t="s">
        <v>60</v>
      </c>
    </row>
    <row r="13" spans="2:14" ht="18" customHeight="1" x14ac:dyDescent="0.25">
      <c r="B13" s="11" t="s">
        <v>70</v>
      </c>
      <c r="C13" s="25" t="s">
        <v>71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2:14" ht="90" customHeight="1" x14ac:dyDescent="0.25">
      <c r="B14" s="2" t="s">
        <v>72</v>
      </c>
      <c r="C14" s="12" t="s">
        <v>73</v>
      </c>
      <c r="D14" s="12" t="s">
        <v>74</v>
      </c>
      <c r="E14" s="2">
        <v>1</v>
      </c>
      <c r="F14" s="2">
        <v>5</v>
      </c>
      <c r="G14" s="2">
        <f>F14*E14</f>
        <v>5</v>
      </c>
      <c r="H14" s="2">
        <v>2</v>
      </c>
      <c r="I14" s="2">
        <v>5</v>
      </c>
      <c r="J14" s="2">
        <f>I14*H14</f>
        <v>10</v>
      </c>
      <c r="K14" s="2">
        <v>2</v>
      </c>
      <c r="L14" s="2">
        <v>5</v>
      </c>
      <c r="M14" s="2">
        <f>L14*K14</f>
        <v>10</v>
      </c>
      <c r="N14" s="13" t="s">
        <v>127</v>
      </c>
    </row>
    <row r="15" spans="2:14" ht="90" customHeight="1" x14ac:dyDescent="0.25">
      <c r="B15" s="2" t="s">
        <v>75</v>
      </c>
      <c r="C15" s="12" t="s">
        <v>76</v>
      </c>
      <c r="D15" s="12" t="s">
        <v>77</v>
      </c>
      <c r="E15" s="2">
        <v>1</v>
      </c>
      <c r="F15" s="2">
        <v>5</v>
      </c>
      <c r="G15" s="2">
        <f>F15*E15</f>
        <v>5</v>
      </c>
      <c r="H15" s="2">
        <v>2</v>
      </c>
      <c r="I15" s="2">
        <v>5</v>
      </c>
      <c r="J15" s="2">
        <f>I15*H15</f>
        <v>10</v>
      </c>
      <c r="K15" s="2">
        <v>2</v>
      </c>
      <c r="L15" s="2">
        <v>5</v>
      </c>
      <c r="M15" s="2">
        <f>L15*K15</f>
        <v>10</v>
      </c>
      <c r="N15" s="13" t="s">
        <v>127</v>
      </c>
    </row>
    <row r="16" spans="2:14" ht="90" customHeight="1" x14ac:dyDescent="0.25">
      <c r="B16" s="2" t="s">
        <v>78</v>
      </c>
      <c r="C16" s="12" t="s">
        <v>79</v>
      </c>
      <c r="D16" s="12" t="s">
        <v>80</v>
      </c>
      <c r="E16" s="2">
        <v>1</v>
      </c>
      <c r="F16" s="2">
        <v>3</v>
      </c>
      <c r="G16" s="2">
        <f>F16*E16</f>
        <v>3</v>
      </c>
      <c r="H16" s="2">
        <v>2</v>
      </c>
      <c r="I16" s="2">
        <v>5</v>
      </c>
      <c r="J16" s="2">
        <f>I16*H16</f>
        <v>10</v>
      </c>
      <c r="K16" s="2">
        <v>2</v>
      </c>
      <c r="L16" s="2">
        <v>5</v>
      </c>
      <c r="M16" s="2">
        <f>L16*K16</f>
        <v>10</v>
      </c>
      <c r="N16" s="13" t="s">
        <v>60</v>
      </c>
    </row>
    <row r="17" spans="2:14" ht="90" customHeight="1" x14ac:dyDescent="0.25">
      <c r="B17" s="2" t="s">
        <v>81</v>
      </c>
      <c r="C17" s="12" t="s">
        <v>82</v>
      </c>
      <c r="D17" s="12" t="s">
        <v>83</v>
      </c>
      <c r="E17" s="2">
        <v>1</v>
      </c>
      <c r="F17" s="2">
        <v>2</v>
      </c>
      <c r="G17" s="2">
        <f>F17*E17</f>
        <v>2</v>
      </c>
      <c r="H17" s="2">
        <v>2</v>
      </c>
      <c r="I17" s="2">
        <v>2</v>
      </c>
      <c r="J17" s="2">
        <f>I17*H17</f>
        <v>4</v>
      </c>
      <c r="K17" s="2">
        <v>2</v>
      </c>
      <c r="L17" s="2">
        <v>2</v>
      </c>
      <c r="M17" s="2">
        <f>L17*K17</f>
        <v>4</v>
      </c>
      <c r="N17" s="13" t="s">
        <v>84</v>
      </c>
    </row>
    <row r="20" spans="2:14" ht="19.5" customHeight="1" x14ac:dyDescent="0.25">
      <c r="B20" s="24" t="s">
        <v>85</v>
      </c>
      <c r="C20" s="24"/>
      <c r="D20" s="24"/>
      <c r="E20" s="24">
        <f>SUM(G9:G17)</f>
        <v>35</v>
      </c>
      <c r="F20" s="24"/>
      <c r="G20" s="24"/>
      <c r="H20" s="24">
        <f>SUM(J9:J17)</f>
        <v>64</v>
      </c>
      <c r="I20" s="24"/>
      <c r="J20" s="24"/>
      <c r="K20" s="24">
        <f>SUM(M14:M17)</f>
        <v>34</v>
      </c>
      <c r="L20" s="24"/>
      <c r="M20" s="24"/>
      <c r="N20" s="6"/>
    </row>
  </sheetData>
  <mergeCells count="16">
    <mergeCell ref="B2:N2"/>
    <mergeCell ref="B3:N3"/>
    <mergeCell ref="B5:B7"/>
    <mergeCell ref="C5:C7"/>
    <mergeCell ref="D5:D7"/>
    <mergeCell ref="E5:M5"/>
    <mergeCell ref="N5:N7"/>
    <mergeCell ref="E6:G6"/>
    <mergeCell ref="H6:J6"/>
    <mergeCell ref="K6:M6"/>
    <mergeCell ref="C8:N8"/>
    <mergeCell ref="C13:N13"/>
    <mergeCell ref="B20:D20"/>
    <mergeCell ref="E20:G20"/>
    <mergeCell ref="H20:J20"/>
    <mergeCell ref="K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zoomScaleNormal="100" workbookViewId="0">
      <selection activeCell="D19" sqref="D19"/>
    </sheetView>
  </sheetViews>
  <sheetFormatPr defaultColWidth="8.7109375" defaultRowHeight="15" x14ac:dyDescent="0.25"/>
  <cols>
    <col min="1" max="1" width="3" customWidth="1"/>
    <col min="2" max="2" width="6" customWidth="1"/>
    <col min="3" max="3" width="52" customWidth="1"/>
    <col min="4" max="4" width="12" customWidth="1"/>
    <col min="5" max="5" width="32" customWidth="1"/>
    <col min="6" max="7" width="20" customWidth="1"/>
  </cols>
  <sheetData>
    <row r="1" spans="2:7" ht="3.75" customHeight="1" x14ac:dyDescent="0.25"/>
    <row r="2" spans="2:7" ht="18" customHeight="1" x14ac:dyDescent="0.25">
      <c r="B2" s="23" t="s">
        <v>86</v>
      </c>
      <c r="C2" s="23"/>
      <c r="D2" s="23"/>
      <c r="E2" s="23"/>
      <c r="F2" s="23"/>
      <c r="G2" s="23"/>
    </row>
    <row r="3" spans="2:7" ht="36" customHeight="1" x14ac:dyDescent="0.25">
      <c r="B3" s="20" t="s">
        <v>1</v>
      </c>
      <c r="C3" s="20"/>
      <c r="D3" s="20"/>
      <c r="E3" s="20"/>
      <c r="F3" s="20"/>
      <c r="G3" s="20"/>
    </row>
    <row r="4" spans="2:7" ht="15.75" customHeight="1" x14ac:dyDescent="0.25">
      <c r="E4" s="21" t="s">
        <v>33</v>
      </c>
      <c r="F4" s="21"/>
      <c r="G4" s="21"/>
    </row>
    <row r="5" spans="2:7" ht="24" customHeight="1" x14ac:dyDescent="0.25">
      <c r="B5" s="1" t="s">
        <v>3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</row>
    <row r="6" spans="2:7" ht="19.5" customHeight="1" x14ac:dyDescent="0.25">
      <c r="B6" s="8" t="s">
        <v>38</v>
      </c>
      <c r="C6" s="8" t="s">
        <v>39</v>
      </c>
      <c r="D6" s="8" t="s">
        <v>40</v>
      </c>
      <c r="E6" s="8"/>
      <c r="F6" s="8"/>
      <c r="G6" s="8" t="s">
        <v>41</v>
      </c>
    </row>
    <row r="7" spans="2:7" ht="45" customHeight="1" x14ac:dyDescent="0.25">
      <c r="B7" s="2">
        <v>1</v>
      </c>
      <c r="C7" s="3" t="s">
        <v>92</v>
      </c>
      <c r="D7" s="2">
        <v>1</v>
      </c>
      <c r="E7" s="2" t="s">
        <v>93</v>
      </c>
      <c r="F7" s="14">
        <v>60000000</v>
      </c>
      <c r="G7" s="15">
        <f>F7/26</f>
        <v>2307692.3076923075</v>
      </c>
    </row>
    <row r="8" spans="2:7" ht="45" customHeight="1" x14ac:dyDescent="0.25">
      <c r="B8" s="2">
        <v>2</v>
      </c>
      <c r="C8" s="3" t="s">
        <v>94</v>
      </c>
      <c r="D8" s="2">
        <v>2</v>
      </c>
      <c r="E8" s="2" t="s">
        <v>95</v>
      </c>
      <c r="F8" s="14">
        <v>40000000</v>
      </c>
      <c r="G8" s="15">
        <f>F8/26</f>
        <v>1538461.5384615385</v>
      </c>
    </row>
    <row r="9" spans="2:7" ht="39.75" customHeight="1" x14ac:dyDescent="0.25">
      <c r="B9" s="2">
        <v>3</v>
      </c>
      <c r="C9" s="3" t="s">
        <v>96</v>
      </c>
      <c r="D9" s="2">
        <v>2</v>
      </c>
      <c r="E9" s="2" t="s">
        <v>97</v>
      </c>
      <c r="F9" s="14">
        <v>20000000</v>
      </c>
      <c r="G9" s="15">
        <f>F9/26</f>
        <v>769230.76923076925</v>
      </c>
    </row>
    <row r="10" spans="2:7" ht="54.75" customHeight="1" x14ac:dyDescent="0.25">
      <c r="B10" s="18" t="s">
        <v>98</v>
      </c>
      <c r="C10" s="18"/>
      <c r="D10" s="18"/>
      <c r="E10" s="18"/>
      <c r="F10" s="18"/>
      <c r="G10" s="18"/>
    </row>
  </sheetData>
  <mergeCells count="4">
    <mergeCell ref="B2:G2"/>
    <mergeCell ref="B3:G3"/>
    <mergeCell ref="E4:G4"/>
    <mergeCell ref="B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zoomScaleNormal="100" workbookViewId="0">
      <selection activeCell="E5" sqref="E5"/>
    </sheetView>
  </sheetViews>
  <sheetFormatPr defaultColWidth="8.7109375" defaultRowHeight="15" x14ac:dyDescent="0.25"/>
  <cols>
    <col min="1" max="1" width="3" customWidth="1"/>
    <col min="2" max="2" width="6" customWidth="1"/>
    <col min="3" max="3" width="42" customWidth="1"/>
    <col min="4" max="4" width="38" customWidth="1"/>
    <col min="5" max="6" width="22" customWidth="1"/>
  </cols>
  <sheetData>
    <row r="1" spans="2:6" ht="3.75" customHeight="1" x14ac:dyDescent="0.25"/>
    <row r="2" spans="2:6" ht="18" customHeight="1" x14ac:dyDescent="0.25">
      <c r="B2" s="23" t="s">
        <v>99</v>
      </c>
      <c r="C2" s="23"/>
      <c r="D2" s="23"/>
      <c r="E2" s="23"/>
      <c r="F2" s="23"/>
    </row>
    <row r="3" spans="2:6" ht="13.5" customHeight="1" x14ac:dyDescent="0.25">
      <c r="E3" s="21" t="s">
        <v>100</v>
      </c>
      <c r="F3" s="21"/>
    </row>
    <row r="4" spans="2:6" ht="24" customHeight="1" x14ac:dyDescent="0.25">
      <c r="B4" s="1" t="s">
        <v>101</v>
      </c>
      <c r="C4" s="1" t="s">
        <v>102</v>
      </c>
      <c r="D4" s="1" t="s">
        <v>103</v>
      </c>
      <c r="E4" s="1" t="s">
        <v>37</v>
      </c>
      <c r="F4" s="1" t="s">
        <v>8</v>
      </c>
    </row>
    <row r="5" spans="2:6" ht="39.75" customHeight="1" x14ac:dyDescent="0.25">
      <c r="B5" s="2">
        <v>1</v>
      </c>
      <c r="C5" s="3" t="s">
        <v>104</v>
      </c>
      <c r="D5" s="3" t="s">
        <v>105</v>
      </c>
      <c r="E5" s="14">
        <v>30000000</v>
      </c>
      <c r="F5" s="8" t="s">
        <v>106</v>
      </c>
    </row>
    <row r="6" spans="2:6" ht="30" customHeight="1" x14ac:dyDescent="0.25">
      <c r="B6" s="2">
        <v>2</v>
      </c>
      <c r="C6" s="3" t="s">
        <v>107</v>
      </c>
      <c r="D6" s="3" t="s">
        <v>108</v>
      </c>
      <c r="E6" s="14">
        <v>5000000</v>
      </c>
      <c r="F6" s="8"/>
    </row>
    <row r="7" spans="2:6" ht="30" customHeight="1" x14ac:dyDescent="0.25">
      <c r="B7" s="2">
        <v>3</v>
      </c>
      <c r="C7" s="3" t="s">
        <v>109</v>
      </c>
      <c r="D7" s="3" t="s">
        <v>110</v>
      </c>
      <c r="E7" s="15">
        <f>'Khấu hao'!J9</f>
        <v>3306666.6666666665</v>
      </c>
      <c r="F7" s="8" t="s">
        <v>110</v>
      </c>
    </row>
    <row r="8" spans="2:6" ht="19.5" customHeight="1" x14ac:dyDescent="0.25">
      <c r="B8" s="28" t="s">
        <v>111</v>
      </c>
      <c r="C8" s="28"/>
      <c r="D8" s="28"/>
      <c r="E8" s="17">
        <f>SUM(E5:E7)</f>
        <v>38306666.666666664</v>
      </c>
      <c r="F8" s="6"/>
    </row>
    <row r="9" spans="2:6" ht="3.75" customHeight="1" x14ac:dyDescent="0.25"/>
  </sheetData>
  <mergeCells count="3">
    <mergeCell ref="B2:F2"/>
    <mergeCell ref="E3:F3"/>
    <mergeCell ref="B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tabSelected="1" zoomScaleNormal="100" workbookViewId="0">
      <selection activeCell="I6" sqref="I6"/>
    </sheetView>
  </sheetViews>
  <sheetFormatPr defaultColWidth="8.7109375" defaultRowHeight="15" x14ac:dyDescent="0.25"/>
  <cols>
    <col min="1" max="1" width="3" customWidth="1"/>
    <col min="2" max="2" width="6" customWidth="1"/>
    <col min="3" max="3" width="22" customWidth="1"/>
    <col min="4" max="4" width="8" customWidth="1"/>
    <col min="5" max="5" width="10" customWidth="1"/>
    <col min="6" max="6" width="20" customWidth="1"/>
    <col min="7" max="7" width="15" customWidth="1"/>
    <col min="8" max="8" width="12" customWidth="1"/>
    <col min="9" max="9" width="18" customWidth="1"/>
    <col min="10" max="10" width="20" customWidth="1"/>
  </cols>
  <sheetData>
    <row r="1" spans="2:10" ht="3.75" customHeight="1" x14ac:dyDescent="0.25"/>
    <row r="2" spans="2:10" ht="18" customHeight="1" x14ac:dyDescent="0.25">
      <c r="B2" s="23" t="s">
        <v>112</v>
      </c>
      <c r="C2" s="23"/>
      <c r="D2" s="23"/>
      <c r="E2" s="23"/>
      <c r="F2" s="23"/>
      <c r="G2" s="23"/>
      <c r="H2" s="23"/>
      <c r="I2" s="23"/>
      <c r="J2" s="23"/>
    </row>
    <row r="3" spans="2:10" ht="13.5" customHeight="1" x14ac:dyDescent="0.25"/>
    <row r="4" spans="2:10" ht="27.75" customHeight="1" x14ac:dyDescent="0.25">
      <c r="B4" s="26" t="s">
        <v>113</v>
      </c>
      <c r="C4" s="26" t="s">
        <v>114</v>
      </c>
      <c r="D4" s="26" t="s">
        <v>115</v>
      </c>
      <c r="E4" s="26" t="s">
        <v>88</v>
      </c>
      <c r="F4" s="26" t="s">
        <v>116</v>
      </c>
      <c r="G4" s="26" t="s">
        <v>117</v>
      </c>
      <c r="H4" s="26" t="s">
        <v>118</v>
      </c>
      <c r="I4" s="26" t="s">
        <v>119</v>
      </c>
      <c r="J4" s="26" t="s">
        <v>120</v>
      </c>
    </row>
    <row r="5" spans="2:10" ht="21.75" customHeight="1" x14ac:dyDescent="0.25">
      <c r="B5" s="26"/>
      <c r="C5" s="26"/>
      <c r="D5" s="26"/>
      <c r="E5" s="26"/>
      <c r="F5" s="26"/>
      <c r="G5" s="26"/>
      <c r="H5" s="26"/>
      <c r="I5" s="26"/>
      <c r="J5" s="26"/>
    </row>
    <row r="6" spans="2:10" ht="19.5" customHeight="1" x14ac:dyDescent="0.25">
      <c r="B6" s="2">
        <v>1</v>
      </c>
      <c r="C6" s="3" t="s">
        <v>121</v>
      </c>
      <c r="D6" s="2" t="s">
        <v>122</v>
      </c>
      <c r="E6" s="2">
        <v>4</v>
      </c>
      <c r="F6" s="14">
        <v>45000000</v>
      </c>
      <c r="G6" s="2">
        <v>60</v>
      </c>
      <c r="H6" s="2">
        <v>0.4</v>
      </c>
      <c r="I6" s="2">
        <v>2</v>
      </c>
      <c r="J6" s="9">
        <f>E6*F6/G6*H6*I6</f>
        <v>2400000</v>
      </c>
    </row>
    <row r="7" spans="2:10" ht="19.5" customHeight="1" x14ac:dyDescent="0.25">
      <c r="B7" s="2">
        <v>2</v>
      </c>
      <c r="C7" s="3" t="s">
        <v>123</v>
      </c>
      <c r="D7" s="2" t="s">
        <v>122</v>
      </c>
      <c r="E7" s="2">
        <v>2</v>
      </c>
      <c r="F7" s="14">
        <v>30000000</v>
      </c>
      <c r="G7" s="2">
        <v>60</v>
      </c>
      <c r="H7" s="2">
        <v>0.4</v>
      </c>
      <c r="I7" s="2">
        <v>2</v>
      </c>
      <c r="J7" s="9">
        <f>E7*F7/G7*H7*I7</f>
        <v>800000</v>
      </c>
    </row>
    <row r="8" spans="2:10" ht="19.5" customHeight="1" x14ac:dyDescent="0.25">
      <c r="B8" s="2">
        <v>3</v>
      </c>
      <c r="C8" s="3" t="s">
        <v>124</v>
      </c>
      <c r="D8" s="2" t="s">
        <v>122</v>
      </c>
      <c r="E8" s="2">
        <v>1</v>
      </c>
      <c r="F8" s="14">
        <v>8000000</v>
      </c>
      <c r="G8" s="2">
        <v>60</v>
      </c>
      <c r="H8" s="2">
        <v>0.4</v>
      </c>
      <c r="I8" s="2">
        <v>2</v>
      </c>
      <c r="J8" s="9">
        <f>E8*F8/G8*H8*I8</f>
        <v>106666.66666666669</v>
      </c>
    </row>
    <row r="9" spans="2:10" ht="19.5" customHeight="1" x14ac:dyDescent="0.25">
      <c r="B9" s="7" t="s">
        <v>125</v>
      </c>
      <c r="C9" s="6"/>
      <c r="D9" s="6"/>
      <c r="E9" s="6"/>
      <c r="F9" s="6"/>
      <c r="G9" s="6"/>
      <c r="H9" s="6"/>
      <c r="I9" s="6"/>
      <c r="J9" s="16">
        <f>SUM(J6:J8)</f>
        <v>3306666.6666666665</v>
      </c>
    </row>
    <row r="10" spans="2:10" ht="13.5" customHeight="1" x14ac:dyDescent="0.25">
      <c r="B10" s="22" t="s">
        <v>28</v>
      </c>
      <c r="C10" s="22"/>
      <c r="D10" s="22"/>
      <c r="E10" s="22"/>
      <c r="F10" s="22"/>
      <c r="G10" s="22"/>
      <c r="H10" s="22"/>
      <c r="I10" s="22"/>
      <c r="J10" s="22"/>
    </row>
    <row r="11" spans="2:10" ht="39.75" customHeight="1" x14ac:dyDescent="0.25">
      <c r="B11" s="18" t="s">
        <v>126</v>
      </c>
      <c r="C11" s="18"/>
      <c r="D11" s="18"/>
      <c r="E11" s="18"/>
      <c r="F11" s="18"/>
      <c r="G11" s="18"/>
      <c r="H11" s="18"/>
      <c r="I11" s="18"/>
      <c r="J11" s="18"/>
    </row>
  </sheetData>
  <mergeCells count="12">
    <mergeCell ref="B10:J10"/>
    <mergeCell ref="B11:J11"/>
    <mergeCell ref="B2:J2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TH-TV</vt:lpstr>
      <vt:lpstr>NC-TV</vt:lpstr>
      <vt:lpstr>NC-CT-TV</vt:lpstr>
      <vt:lpstr>Lương</vt:lpstr>
      <vt:lpstr>CPK</vt:lpstr>
      <vt:lpstr>Khấu hao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Personal</cp:lastModifiedBy>
  <cp:revision>0</cp:revision>
  <dcterms:created xsi:type="dcterms:W3CDTF">2026-05-07T05:08:56Z</dcterms:created>
  <dcterms:modified xsi:type="dcterms:W3CDTF">2026-05-07T06:29:55Z</dcterms:modified>
  <dc:language>en-US</dc:language>
</cp:coreProperties>
</file>