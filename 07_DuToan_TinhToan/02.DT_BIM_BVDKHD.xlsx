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Shared drives\CIC_BIM TEAM_INTERNAL\20. Potential Project\20.2026_Nam 2026\26039-BenhVienHoaiDuc-VNCC\00_PRE-EXECUTION\0010_QUOTATION\"/>
    </mc:Choice>
  </mc:AlternateContent>
  <xr:revisionPtr revIDLastSave="0" documentId="13_ncr:1_{25D62CD5-FAF6-4744-8E49-FAB9E1E7DE48}" xr6:coauthVersionLast="47" xr6:coauthVersionMax="47" xr10:uidLastSave="{00000000-0000-0000-0000-000000000000}"/>
  <bookViews>
    <workbookView xWindow="-108" yWindow="-108" windowWidth="23256" windowHeight="12456" tabRatio="777" activeTab="2" xr2:uid="{00000000-000D-0000-FFFF-FFFF00000000}"/>
  </bookViews>
  <sheets>
    <sheet name="TH-TV" sheetId="3" r:id="rId1"/>
    <sheet name="NC-TV" sheetId="23" r:id="rId2"/>
    <sheet name="NC-CT-TV" sheetId="22" r:id="rId3"/>
    <sheet name="Lương" sheetId="4" r:id="rId4"/>
    <sheet name="CPK" sheetId="36" r:id="rId5"/>
    <sheet name="Khấu hao" sheetId="35" r:id="rId6"/>
    <sheet name="CP Phần mềm" sheetId="37" r:id="rId7"/>
    <sheet name="Tiến độ" sheetId="25" state="hidden" r:id="rId8"/>
    <sheet name="CP xa hoi" sheetId="10" state="hidden" r:id="rId9"/>
  </sheets>
  <definedNames>
    <definedName name="_xlnm.Print_Area" localSheetId="6">'CP Phần mềm'!$B$1:$G$10</definedName>
    <definedName name="_xlnm.Print_Area" localSheetId="4">CPK!$B$2:$F$11</definedName>
    <definedName name="_xlnm.Print_Area" localSheetId="5">'Khấu hao'!$B$2:$J$12</definedName>
    <definedName name="_xlnm.Print_Area" localSheetId="3">Lương!$B$2:$G$11</definedName>
    <definedName name="_xlnm.Print_Area" localSheetId="2">'NC-CT-TV'!$B$2:$N$18</definedName>
    <definedName name="_xlnm.Print_Area" localSheetId="1">'NC-TV'!$B$2:$F$14</definedName>
    <definedName name="_xlnm.Print_Area" localSheetId="7">'Tiến độ'!$B$3:$X$35</definedName>
    <definedName name="_xlnm.Print_Area" localSheetId="0">'TH-TV'!$B$2:$G$16</definedName>
    <definedName name="_xlnm.Print_Titles" localSheetId="2">'NC-CT-TV'!$5:$6</definedName>
    <definedName name="_xlnm.Print_Titles" localSheetId="1">'NC-TV'!$5:$5</definedName>
    <definedName name="_xlnm.Print_Titles" localSheetId="7">'Tiến độ'!$6:$7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G8" i="4"/>
  <c r="G7" i="4"/>
  <c r="D5" i="37" l="1"/>
  <c r="J15" i="22" l="1"/>
  <c r="M17" i="22" l="1"/>
  <c r="J17" i="22"/>
  <c r="G17" i="22"/>
  <c r="M16" i="22"/>
  <c r="J16" i="22"/>
  <c r="G16" i="22"/>
  <c r="M15" i="22"/>
  <c r="G15" i="22"/>
  <c r="M14" i="22"/>
  <c r="J14" i="22"/>
  <c r="G14" i="22"/>
  <c r="M13" i="22"/>
  <c r="J13" i="22"/>
  <c r="G13" i="22"/>
  <c r="J10" i="22"/>
  <c r="G10" i="22"/>
  <c r="K18" i="22" l="1"/>
  <c r="D9" i="23"/>
  <c r="J6" i="35" l="1"/>
  <c r="G5" i="37"/>
  <c r="G6" i="37" s="1"/>
  <c r="E6" i="22"/>
  <c r="G9" i="22"/>
  <c r="G11" i="22"/>
  <c r="D7" i="23" l="1"/>
  <c r="E18" i="22"/>
  <c r="E8" i="23" l="1"/>
  <c r="E9" i="36" l="1"/>
  <c r="J9" i="22" l="1"/>
  <c r="J9" i="35"/>
  <c r="E8" i="36" s="1"/>
  <c r="J8" i="35"/>
  <c r="E7" i="36" s="1"/>
  <c r="J7" i="35"/>
  <c r="E6" i="36" s="1"/>
  <c r="D8" i="23" l="1"/>
  <c r="H18" i="22"/>
  <c r="J10" i="35"/>
  <c r="E5" i="36"/>
  <c r="E11" i="36" s="1"/>
  <c r="F8" i="3" l="1"/>
  <c r="B17" i="25"/>
  <c r="C17" i="25"/>
  <c r="B18" i="25"/>
  <c r="C18" i="25"/>
  <c r="B19" i="25"/>
  <c r="C19" i="25"/>
  <c r="B20" i="25"/>
  <c r="C20" i="25"/>
  <c r="B21" i="25"/>
  <c r="C21" i="25"/>
  <c r="B22" i="25"/>
  <c r="C22" i="25"/>
  <c r="B32" i="25"/>
  <c r="C32" i="25"/>
  <c r="B33" i="25"/>
  <c r="C33" i="25"/>
  <c r="B29" i="25"/>
  <c r="C29" i="25"/>
  <c r="B30" i="25"/>
  <c r="C30" i="25"/>
  <c r="B24" i="25"/>
  <c r="C24" i="25"/>
  <c r="B25" i="25"/>
  <c r="C25" i="25"/>
  <c r="B26" i="25"/>
  <c r="C26" i="25"/>
  <c r="B27" i="25"/>
  <c r="C27" i="25"/>
  <c r="C34" i="25" l="1"/>
  <c r="C31" i="25"/>
  <c r="C28" i="25"/>
  <c r="C23" i="25"/>
  <c r="C8" i="25"/>
  <c r="B35" i="25"/>
  <c r="C35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K6" i="22"/>
  <c r="H6" i="22"/>
  <c r="F8" i="23" l="1"/>
  <c r="A10" i="10" l="1"/>
  <c r="A11" i="10" s="1"/>
  <c r="A12" i="10" s="1"/>
  <c r="E13" i="10"/>
  <c r="E9" i="23" l="1"/>
  <c r="F9" i="23" s="1"/>
  <c r="E7" i="23" l="1"/>
  <c r="F7" i="23"/>
  <c r="F10" i="23"/>
  <c r="F6" i="3" s="1"/>
  <c r="F7" i="3" l="1"/>
  <c r="F9" i="3" l="1"/>
  <c r="F10" i="3" s="1"/>
  <c r="F11" i="3" s="1"/>
  <c r="F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Nghia</author>
  </authors>
  <commentList>
    <comment ref="D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khấu hao theo thông tư 162/2014/TT-BTC</t>
        </r>
      </text>
    </comment>
  </commentList>
</comments>
</file>

<file path=xl/sharedStrings.xml><?xml version="1.0" encoding="utf-8"?>
<sst xmlns="http://schemas.openxmlformats.org/spreadsheetml/2006/main" count="233" uniqueCount="183">
  <si>
    <t>Đơn vị:  Việt Nam đồng</t>
  </si>
  <si>
    <t>TT</t>
  </si>
  <si>
    <t>Thành phần chi phí</t>
  </si>
  <si>
    <t>Diễn giải</t>
  </si>
  <si>
    <t>Ký hiệu</t>
  </si>
  <si>
    <t>Giá trị</t>
  </si>
  <si>
    <t>Ghi chú</t>
  </si>
  <si>
    <t>Ccg</t>
  </si>
  <si>
    <t>Cql</t>
  </si>
  <si>
    <t>Tổng giá trị sau thuế</t>
  </si>
  <si>
    <t>Gst</t>
  </si>
  <si>
    <t>Làm tròn</t>
  </si>
  <si>
    <t>HẠNG MỤC: TƯ VẤN MÔ HÌNH THÔNG TIN CÔNG TRÌNH</t>
  </si>
  <si>
    <t>Chi phí nhân công</t>
  </si>
  <si>
    <t xml:space="preserve">Chi phí quản lý </t>
  </si>
  <si>
    <t>Chi phí khác</t>
  </si>
  <si>
    <t>Ck</t>
  </si>
  <si>
    <t>Thu nhập chịu thuế tính trước</t>
  </si>
  <si>
    <t>6% x (Ccg+Cql)</t>
  </si>
  <si>
    <t>TN</t>
  </si>
  <si>
    <t>Thuế giá trị gia tăng</t>
  </si>
  <si>
    <t>VAT</t>
  </si>
  <si>
    <t>Ccg+Cql+TN+Ck+VAT+Cdp</t>
  </si>
  <si>
    <t>Hạng mục công việc</t>
  </si>
  <si>
    <t>Sản phẩm</t>
  </si>
  <si>
    <t>Thời gian (ngày)</t>
  </si>
  <si>
    <t>Số người</t>
  </si>
  <si>
    <t>Số ngày</t>
  </si>
  <si>
    <t>Số công</t>
  </si>
  <si>
    <t>Phần việc thực hiện</t>
  </si>
  <si>
    <t>Đơn giá tiền lương</t>
  </si>
  <si>
    <t>Thành tiền</t>
  </si>
  <si>
    <t>(1)</t>
  </si>
  <si>
    <t>(2)</t>
  </si>
  <si>
    <t>(3)</t>
  </si>
  <si>
    <t>(4)</t>
  </si>
  <si>
    <t>(5) = (3) x (4)</t>
  </si>
  <si>
    <r>
      <t xml:space="preserve">Tổng chi phí nhân công
</t>
    </r>
    <r>
      <rPr>
        <b/>
        <i/>
        <sz val="12"/>
        <rFont val="Times New Roman"/>
        <family val="1"/>
      </rPr>
      <t>Total of labor costs</t>
    </r>
  </si>
  <si>
    <t>Đơn vị: Việt Nam đồng</t>
  </si>
  <si>
    <t>Đơn vị</t>
  </si>
  <si>
    <t>Số lượng</t>
  </si>
  <si>
    <t>BẢNG 3 BẢNG PHÂN TÍCH CHI TIẾT CHI PHÍ LƯƠNG</t>
  </si>
  <si>
    <t>HẠNG MỤC: CHI PHÍ TƯ VẤN MÔ HÌNH THÔNG TIN CÔNG TRÌNH VÀ 
ĐÀO TẠO, NÂNG CAO NĂNG LỰC ÁP DỤNG BIM CỦA BAN QLDA</t>
  </si>
  <si>
    <t>Chuyên gia</t>
  </si>
  <si>
    <t>Nhóm</t>
  </si>
  <si>
    <t>Lương tháng</t>
  </si>
  <si>
    <t>Lương ngày</t>
  </si>
  <si>
    <t>Kỹ sư cao cấp, chủ nhiệm dự án</t>
  </si>
  <si>
    <t>Kỹ sư chính, chủ nhiệm bộ môn</t>
  </si>
  <si>
    <t>Kỹ sư</t>
  </si>
  <si>
    <t>Nội dung</t>
  </si>
  <si>
    <t>Đào tạo</t>
  </si>
  <si>
    <t>BẢNG 4: TIẾN ĐỘ CHI TIẾT THỰC HIỆN CÁC CÔNG VIỆC</t>
  </si>
  <si>
    <t xml:space="preserve">HẠNG MỤC: CHI PHÍ TƯ VẤN MÔ HÌNH THÔNG TIN CÔNG TRÌNH VÀ 
ĐÀO TẠO, NÂNG CAO NĂNG LỰC ÁP DỤNG BIM CỦA BAN QLDA VÀ MỘT SỐ ĐƠN VỊ LIÊN QUAN </t>
  </si>
  <si>
    <t>STT</t>
  </si>
  <si>
    <t>Thời gian</t>
  </si>
  <si>
    <t>1/7</t>
  </si>
  <si>
    <t>2/7</t>
  </si>
  <si>
    <t>3/7</t>
  </si>
  <si>
    <t>4/7</t>
  </si>
  <si>
    <t>1/8</t>
  </si>
  <si>
    <t>2/8</t>
  </si>
  <si>
    <t>3/8</t>
  </si>
  <si>
    <t>4/8</t>
  </si>
  <si>
    <t>1/9</t>
  </si>
  <si>
    <t>2/9</t>
  </si>
  <si>
    <t>3/9</t>
  </si>
  <si>
    <t>4/9</t>
  </si>
  <si>
    <t>1/10</t>
  </si>
  <si>
    <t>2/10</t>
  </si>
  <si>
    <t>3/10</t>
  </si>
  <si>
    <t>4/10</t>
  </si>
  <si>
    <t>1/11</t>
  </si>
  <si>
    <t>2/11</t>
  </si>
  <si>
    <t>3/11</t>
  </si>
  <si>
    <t>4/11</t>
  </si>
  <si>
    <t>Các lần cập nhật theo yêu cầu chi tiết của dự án</t>
  </si>
  <si>
    <t>Thời gian đào tạo cho Nhà thầu theo tiến độ đấu thầu của VPMO</t>
  </si>
  <si>
    <t>2</t>
  </si>
  <si>
    <t>3</t>
  </si>
  <si>
    <t>Theo tiến độ thực tế của dự án</t>
  </si>
  <si>
    <t>4</t>
  </si>
  <si>
    <t>Theo tiến độ cụ thể của dự án</t>
  </si>
  <si>
    <t>B¶ng 5</t>
  </si>
  <si>
    <t>Chi tiÕt chi phÝ x· héi</t>
  </si>
  <si>
    <t>Khoản mục chi phí</t>
  </si>
  <si>
    <t>Cách tính</t>
  </si>
  <si>
    <t xml:space="preserve">Thành tiền </t>
  </si>
  <si>
    <t xml:space="preserve">Tỉ lệ % </t>
  </si>
  <si>
    <t>(đồng)</t>
  </si>
  <si>
    <t xml:space="preserve">Tỉ lệ % của </t>
  </si>
  <si>
    <t>lương cơ bản</t>
  </si>
  <si>
    <t>Kinh phí công đoàn</t>
  </si>
  <si>
    <t>NĐ 191/2013/NĐ-CP</t>
  </si>
  <si>
    <t>Bảo hiểm xã hội</t>
  </si>
  <si>
    <t>126/BHXH-BT</t>
  </si>
  <si>
    <t>Bảo hiểm y tế</t>
  </si>
  <si>
    <t>Bảo hiểm thất nghiệp</t>
  </si>
  <si>
    <t>Tổng cộng</t>
  </si>
  <si>
    <t>BẢNG 5: CHI TIẾT KHẤU HAO MÁY MÓC, THIẾT BỊ</t>
  </si>
  <si>
    <t>Stt</t>
  </si>
  <si>
    <t>Danh mục thiết bị</t>
  </si>
  <si>
    <t>Hệ số sử dụng</t>
  </si>
  <si>
    <t>(5)</t>
  </si>
  <si>
    <t>(6)</t>
  </si>
  <si>
    <t>(7)</t>
  </si>
  <si>
    <t>(8)</t>
  </si>
  <si>
    <t>(9)=4x5/6x7x8</t>
  </si>
  <si>
    <t>Cái</t>
  </si>
  <si>
    <t>Tổng</t>
  </si>
  <si>
    <t>Máy tính xách tay</t>
  </si>
  <si>
    <t>Đơn vị tính: đồng</t>
  </si>
  <si>
    <t>Diễn giải cách tính</t>
  </si>
  <si>
    <t>Chi phí khấu hao thiết bị văn phòng</t>
  </si>
  <si>
    <t>Máy tính để bàn</t>
  </si>
  <si>
    <t>Chi tiết tại bảng 5</t>
  </si>
  <si>
    <t>Máy in</t>
  </si>
  <si>
    <t>Máy photo</t>
  </si>
  <si>
    <t xml:space="preserve">Chi phí thuê phần mềm bản quyền </t>
  </si>
  <si>
    <t>Chi tiết tại bảng 6</t>
  </si>
  <si>
    <t xml:space="preserve">Tổng cộng: </t>
  </si>
  <si>
    <t>BẢNG 6: CHI PHÍ THUÊ PHẦN MỀM PHỤC VỤ CHO CÔNG VIỆC TƯ VẤN CỦA CHUYÊN GIA</t>
  </si>
  <si>
    <t>Đồng/năm</t>
  </si>
  <si>
    <t>Số lượng (phần mềm)</t>
  </si>
  <si>
    <t>Thành tiền (đồng)</t>
  </si>
  <si>
    <t>TỔNG CỘNG</t>
  </si>
  <si>
    <t>Giai đoạn chuẩn bị</t>
  </si>
  <si>
    <t>Loại phần mềm</t>
  </si>
  <si>
    <t>BẢNG 1: CHI PHÍ NHÂN CÔNG</t>
  </si>
  <si>
    <t>BẢNG 2: CHI PHÍ NHÂN CÔNG CHI TIẾT</t>
  </si>
  <si>
    <t>BẢNG 4: CHI PHÍ KHÁC</t>
  </si>
  <si>
    <t>Bảng 1</t>
  </si>
  <si>
    <t>Bảng số 4</t>
  </si>
  <si>
    <t>2 ngày làm việc</t>
  </si>
  <si>
    <t xml:space="preserve">Mô hình BIM cập nhật </t>
  </si>
  <si>
    <t>*Ghi chú:</t>
  </si>
  <si>
    <t>2. Chi phí quản lý: căn cứ vận dụng theo hướng dẫn tại Thông tư số 11/2021/TT-BXD ngày 31/8/2021</t>
  </si>
  <si>
    <t>3. Các khoản thu nhập chịu thuế tính trước, thuế GTGT: căn cứ vận dụng Thông tư số 11/2021/TT-BXD ngày 31/8/2021 của Bộ Xây dựng</t>
  </si>
  <si>
    <t>1.Đơn giá tiền lương xem Bảng 3: Bảng phân tích chi tiết tiền lương</t>
  </si>
  <si>
    <t>Quản lý BIM của dự án - Chuyên gia nhóm I
(BIM Manager)</t>
  </si>
  <si>
    <t>Điều phối BIM cho dự án - Chuyên gia nhóm II
(BIM Coordinator)</t>
  </si>
  <si>
    <t>Chuyên viên tạo lập mô hình BIM - Chuyên gia nhóm IV
(BIM Modeler)</t>
  </si>
  <si>
    <t>Điều phối BIM cho dự án (BIM Coordinator)
Chuyên gia nhóm II</t>
  </si>
  <si>
    <t>Chuyên viên tạo lập mô hình BIM (BIM Modeller)
Chuyên gia nhóm IV</t>
  </si>
  <si>
    <t>TỔNG HỢP DỰ TOÁN CHI CHÍ TƯ VẤN</t>
  </si>
  <si>
    <t>Đơn vị: Việt Nam Đồng</t>
  </si>
  <si>
    <t>Đơn giá TB (Đồng)</t>
  </si>
  <si>
    <t>Chi phí khấu hao (Đồng)</t>
  </si>
  <si>
    <t>Thời gian khấu hao (tháng)</t>
  </si>
  <si>
    <t>Khấu hao vào dự án (tháng)</t>
  </si>
  <si>
    <t>Cách tính khấu hao máy móc, thiết bị theo Thông tư số 45/2013/TT-BTC ngày 25/4/2013</t>
  </si>
  <si>
    <t>Quản lý BIM của dự án 
(BIM Manager)
Chuyên gia nhóm I</t>
  </si>
  <si>
    <t>https://www.autodesk.com/asean/collections/architecture-engineering-construction/overview?term=1-YEAR&amp;tab=subscription</t>
  </si>
  <si>
    <r>
      <t xml:space="preserve">*Ghi chú: </t>
    </r>
    <r>
      <rPr>
        <sz val="12"/>
        <rFont val="Times New Roman"/>
        <family val="1"/>
      </rPr>
      <t>Giá phần mềm là giá list được công bố trên website của các hãng phần mềm:</t>
    </r>
  </si>
  <si>
    <t>55% x Ccg</t>
  </si>
  <si>
    <r>
      <rPr>
        <b/>
        <sz val="12"/>
        <rFont val="Times New Roman"/>
        <family val="1"/>
      </rPr>
      <t>Bộ phần mềm phục vụ công tác triển khai BIM của nhà thầu:</t>
    </r>
    <r>
      <rPr>
        <sz val="12"/>
        <rFont val="Times New Roman"/>
        <family val="1"/>
      </rPr>
      <t xml:space="preserve">
Architecture Engineering &amp; Construction Collection IC Commercial New Single-user ELD Annual Subscription</t>
    </r>
  </si>
  <si>
    <t xml:space="preserve">Làm một số bản vẽ chính được trích xuất từ mô hình BIM phục vụ công tác thẩm định </t>
  </si>
  <si>
    <t>Báo cáo các vấn đề có trong mô hình BIM của dự án</t>
  </si>
  <si>
    <t xml:space="preserve">- Gói phần mềm Architecture Engineering &amp; Construction Collection IC Commercial New Single-user ELD Annual Subscription tham khảo tại website: </t>
  </si>
  <si>
    <t>Thiết lập, đào tạo hướng dẫn sử dụng môi trường dữ liệu chung (CDE) và phần mềm quản lý các vấn đề có trong mô hình BIM</t>
  </si>
  <si>
    <t>Bộ tài liệu đào tạo về môi trường dữ liệu chung (CDE) và phần mềm quản lý các vấn đề có trong mô hình BIM</t>
  </si>
  <si>
    <t>Kế hoạch thực hiện BIM (BEP) phù hợp với dự án</t>
  </si>
  <si>
    <t>Lập kế hoạch thực hiện BIM (BEP) cho dự án</t>
  </si>
  <si>
    <t>Hướng dẫn Ban QLDA và các đơn vị liên quan triển khai kế hoạch thực hiện BIM (BEP) cho phạm vi công việc của từng nhà thầu.</t>
  </si>
  <si>
    <t>Kiểm soát mô hình BIM, báo cáo các vấn đề có trong mô hình BIM cho Ban QLDA và các đơn vị có liên quan</t>
  </si>
  <si>
    <t>Cập nhật mô hình BIM theo nội dung phối hợp cùng Ban QLDA, đơn vị tư vấn thiết kế</t>
  </si>
  <si>
    <t>- Môi trường dữ liệu chung (CDE): Google Drive: miễn phí</t>
  </si>
  <si>
    <t xml:space="preserve">Trích xuất khối lượng chính phục vụ công tác thẩm định </t>
  </si>
  <si>
    <r>
      <t xml:space="preserve">Báo cáo các khối lượng chính được trích xuất từ mô hình BIM
</t>
    </r>
    <r>
      <rPr>
        <sz val="13"/>
        <color rgb="FFFF0000"/>
        <rFont val="Times New Roman"/>
        <family val="1"/>
      </rPr>
      <t>(đảm bảo sự thống nhất giữa khối lượng được trích xuất từ mô hình BIM và hồ sơ thiết kế</t>
    </r>
    <r>
      <rPr>
        <b/>
        <sz val="13"/>
        <color rgb="FFFF0000"/>
        <rFont val="Times New Roman"/>
        <family val="1"/>
      </rPr>
      <t>)</t>
    </r>
  </si>
  <si>
    <r>
      <t xml:space="preserve">Bản vẽ được trích xuất từ mô hình BIM </t>
    </r>
    <r>
      <rPr>
        <sz val="13"/>
        <color rgb="FFFF0000"/>
        <rFont val="Times New Roman"/>
        <family val="1"/>
      </rPr>
      <t>(đảm bảo sự thống nhất giữa bản vẽ được trích xuất từ mô hình BIM và hồ sơ thiết kế)</t>
    </r>
  </si>
  <si>
    <t>Áp dụng BIM trong giai đoạn thiết kế bản vẽ thi công</t>
  </si>
  <si>
    <t>Mô hình BIM theo bản vẽ thiết kế bản vẽ thi công (LOD 300-400)</t>
  </si>
  <si>
    <t>Xây dựng mô hình BIM giai đoạn thiết kế bản vẽ thi công của dự án (LOD 300-400)</t>
  </si>
  <si>
    <t>10 ngày làm việc không liên tục</t>
  </si>
  <si>
    <t>Chi phí đi lại để họp điều phối dự án</t>
  </si>
  <si>
    <t>Tạm tính</t>
  </si>
  <si>
    <t>1. Chi phí nhân công: tham khảo mức tiền lương chuyên gia theo quy định của Thông tư số 004/2025/TT-BNV ngày 07/5/2025 của Bộ Nội vụ</t>
  </si>
  <si>
    <t>2.Chi phí nhân công: tham khảo mức tiền lương chuyên gia theo quy định của Thông tư số 004/2025/TT-BNV ngày 07/5/2025 của Bộ Nội vụ</t>
  </si>
  <si>
    <r>
      <rPr>
        <b/>
        <i/>
        <sz val="12"/>
        <rFont val="Times New Roman"/>
        <family val="1"/>
      </rPr>
      <t xml:space="preserve">*Ghi chú: </t>
    </r>
    <r>
      <rPr>
        <i/>
        <sz val="12"/>
        <rFont val="Times New Roman"/>
        <family val="1"/>
      </rPr>
      <t xml:space="preserve">
Mức lương trên được  tham khảo mức tiền lương chuyên gia theo quy định của Thông tư số 004/2025/TT-BNV ngày 07/5/2025 của Bộ Nội vụ.</t>
    </r>
  </si>
  <si>
    <t>30 ngày làm việc không liên tục</t>
  </si>
  <si>
    <t>Tổng (cộng)</t>
  </si>
  <si>
    <t>8 % x (Ccg+Cql+TN+Ck)</t>
  </si>
  <si>
    <t>15 ngày làm việc không liên tục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</si>
</sst>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0.0"/>
  </numFmts>
  <fonts count="34">
    <font>
      <sz val="10"/>
      <name val="Arial"/>
    </font>
    <font>
      <sz val="10"/>
      <name val="Arial"/>
      <family val="2"/>
      <charset val="163"/>
    </font>
    <font>
      <sz val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name val=".VnTime"/>
      <family val="2"/>
    </font>
    <font>
      <b/>
      <sz val="12"/>
      <name val=".VnTimeH"/>
      <family val="2"/>
    </font>
    <font>
      <sz val="12"/>
      <name val=".VnTime"/>
      <family val="2"/>
    </font>
    <font>
      <sz val="10"/>
      <name val="Arial"/>
      <family val="2"/>
    </font>
    <font>
      <b/>
      <sz val="16"/>
      <name val="Times New Roman"/>
      <family val="1"/>
    </font>
    <font>
      <i/>
      <sz val="12"/>
      <name val="Times New Roman"/>
      <family val="1"/>
    </font>
    <font>
      <sz val="14"/>
      <name val="TiNE"/>
    </font>
    <font>
      <b/>
      <i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color rgb="FF000000"/>
      <name val="Times New Roman"/>
      <family val="1"/>
    </font>
    <font>
      <sz val="10"/>
      <name val="Arial"/>
      <family val="2"/>
    </font>
    <font>
      <sz val="14"/>
      <name val=".VnTimeH"/>
      <family val="2"/>
    </font>
    <font>
      <sz val="10"/>
      <name val="Tahoma"/>
      <family val="2"/>
    </font>
    <font>
      <b/>
      <i/>
      <sz val="13"/>
      <name val="Times New Roman"/>
      <family val="1"/>
    </font>
    <font>
      <b/>
      <sz val="9"/>
      <color indexed="81"/>
      <name val="Tahoma"/>
      <family val="2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u/>
      <sz val="10"/>
      <color theme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0" fillId="0" borderId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0" fillId="0" borderId="0"/>
    <xf numFmtId="0" fontId="24" fillId="0" borderId="0"/>
    <xf numFmtId="0" fontId="29" fillId="0" borderId="0" applyNumberFormat="0" applyFill="0" applyBorder="0" applyAlignment="0" applyProtection="0"/>
  </cellStyleXfs>
  <cellXfs count="2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3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0" fontId="7" fillId="0" borderId="0" xfId="0" applyFont="1" applyAlignment="1">
      <alignment horizontal="center" vertical="top" wrapText="1"/>
    </xf>
    <xf numFmtId="3" fontId="7" fillId="0" borderId="0" xfId="0" applyNumberFormat="1" applyFon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3" fontId="9" fillId="0" borderId="1" xfId="0" applyNumberFormat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3" fontId="9" fillId="0" borderId="2" xfId="0" applyNumberFormat="1" applyFont="1" applyBorder="1" applyAlignment="1">
      <alignment horizontal="center" vertical="top" wrapText="1"/>
    </xf>
    <xf numFmtId="9" fontId="9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9" fontId="0" fillId="0" borderId="2" xfId="1" applyFont="1" applyBorder="1"/>
    <xf numFmtId="3" fontId="0" fillId="0" borderId="2" xfId="0" applyNumberFormat="1" applyBorder="1"/>
    <xf numFmtId="9" fontId="0" fillId="0" borderId="2" xfId="0" applyNumberFormat="1" applyBorder="1"/>
    <xf numFmtId="0" fontId="0" fillId="0" borderId="3" xfId="0" applyBorder="1"/>
    <xf numFmtId="3" fontId="0" fillId="0" borderId="3" xfId="0" applyNumberFormat="1" applyBorder="1"/>
    <xf numFmtId="9" fontId="0" fillId="0" borderId="3" xfId="0" applyNumberForma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3" fontId="7" fillId="0" borderId="4" xfId="0" applyNumberFormat="1" applyFont="1" applyBorder="1"/>
    <xf numFmtId="9" fontId="7" fillId="0" borderId="4" xfId="0" applyNumberFormat="1" applyFont="1" applyBorder="1"/>
    <xf numFmtId="0" fontId="7" fillId="0" borderId="0" xfId="0" applyFont="1"/>
    <xf numFmtId="3" fontId="7" fillId="0" borderId="0" xfId="0" applyNumberFormat="1" applyFont="1"/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9" fontId="10" fillId="0" borderId="2" xfId="1" applyFont="1" applyBorder="1"/>
    <xf numFmtId="3" fontId="10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3" fillId="0" borderId="2" xfId="0" quotePrefix="1" applyNumberFormat="1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4" fillId="0" borderId="4" xfId="0" quotePrefix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49" fontId="15" fillId="0" borderId="4" xfId="0" applyNumberFormat="1" applyFont="1" applyBorder="1" applyAlignment="1">
      <alignment wrapText="1"/>
    </xf>
    <xf numFmtId="49" fontId="15" fillId="0" borderId="0" xfId="0" applyNumberFormat="1" applyFont="1" applyAlignment="1">
      <alignment wrapText="1"/>
    </xf>
    <xf numFmtId="49" fontId="16" fillId="0" borderId="4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wrapText="1"/>
    </xf>
    <xf numFmtId="49" fontId="17" fillId="0" borderId="4" xfId="0" applyNumberFormat="1" applyFont="1" applyBorder="1" applyAlignment="1">
      <alignment vertical="center" wrapText="1"/>
    </xf>
    <xf numFmtId="49" fontId="18" fillId="0" borderId="4" xfId="0" quotePrefix="1" applyNumberFormat="1" applyFont="1" applyBorder="1" applyAlignment="1">
      <alignment horizontal="justify" vertical="center" wrapText="1"/>
    </xf>
    <xf numFmtId="49" fontId="18" fillId="0" borderId="4" xfId="0" applyNumberFormat="1" applyFont="1" applyBorder="1" applyAlignment="1">
      <alignment horizontal="justify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18" fillId="0" borderId="4" xfId="0" quotePrefix="1" applyNumberFormat="1" applyFont="1" applyBorder="1" applyAlignment="1">
      <alignment horizontal="left" vertical="center" wrapText="1" indent="2"/>
    </xf>
    <xf numFmtId="49" fontId="18" fillId="0" borderId="4" xfId="0" applyNumberFormat="1" applyFont="1" applyBorder="1" applyAlignment="1">
      <alignment horizontal="left" vertical="center" wrapText="1" indent="1"/>
    </xf>
    <xf numFmtId="49" fontId="18" fillId="0" borderId="4" xfId="0" quotePrefix="1" applyNumberFormat="1" applyFont="1" applyBorder="1" applyAlignment="1">
      <alignment horizontal="left" vertical="center" wrapText="1" indent="1"/>
    </xf>
    <xf numFmtId="49" fontId="15" fillId="0" borderId="13" xfId="0" applyNumberFormat="1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49" fontId="17" fillId="0" borderId="16" xfId="0" applyNumberFormat="1" applyFont="1" applyBorder="1" applyAlignment="1">
      <alignment vertical="center" wrapText="1"/>
    </xf>
    <xf numFmtId="49" fontId="15" fillId="0" borderId="16" xfId="0" applyNumberFormat="1" applyFont="1" applyBorder="1" applyAlignment="1">
      <alignment wrapText="1"/>
    </xf>
    <xf numFmtId="49" fontId="15" fillId="0" borderId="16" xfId="0" applyNumberFormat="1" applyFont="1" applyBorder="1" applyAlignment="1">
      <alignment horizontal="center" vertical="center" wrapText="1"/>
    </xf>
    <xf numFmtId="49" fontId="18" fillId="0" borderId="16" xfId="0" applyNumberFormat="1" applyFont="1" applyBorder="1" applyAlignment="1">
      <alignment horizontal="justify" vertical="center" wrapText="1"/>
    </xf>
    <xf numFmtId="49" fontId="15" fillId="2" borderId="16" xfId="0" applyNumberFormat="1" applyFont="1" applyFill="1" applyBorder="1" applyAlignment="1">
      <alignment wrapText="1"/>
    </xf>
    <xf numFmtId="49" fontId="18" fillId="0" borderId="16" xfId="0" applyNumberFormat="1" applyFont="1" applyBorder="1" applyAlignment="1">
      <alignment horizontal="left" vertical="center" wrapText="1"/>
    </xf>
    <xf numFmtId="49" fontId="18" fillId="0" borderId="13" xfId="0" applyNumberFormat="1" applyFont="1" applyBorder="1" applyAlignment="1">
      <alignment horizontal="justify" vertical="center" wrapText="1"/>
    </xf>
    <xf numFmtId="49" fontId="15" fillId="0" borderId="13" xfId="0" applyNumberFormat="1" applyFont="1" applyBorder="1" applyAlignment="1">
      <alignment wrapText="1"/>
    </xf>
    <xf numFmtId="49" fontId="15" fillId="2" borderId="13" xfId="0" applyNumberFormat="1" applyFont="1" applyFill="1" applyBorder="1" applyAlignment="1">
      <alignment wrapText="1"/>
    </xf>
    <xf numFmtId="0" fontId="4" fillId="0" borderId="4" xfId="0" quotePrefix="1" applyFont="1" applyBorder="1" applyAlignment="1">
      <alignment horizontal="center" vertical="center"/>
    </xf>
    <xf numFmtId="49" fontId="4" fillId="0" borderId="4" xfId="0" quotePrefix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vertical="top"/>
    </xf>
    <xf numFmtId="49" fontId="15" fillId="0" borderId="0" xfId="0" applyNumberFormat="1" applyFont="1"/>
    <xf numFmtId="165" fontId="15" fillId="3" borderId="0" xfId="0" applyNumberFormat="1" applyFont="1" applyFill="1" applyAlignment="1">
      <alignment horizontal="center" vertical="center"/>
    </xf>
    <xf numFmtId="165" fontId="15" fillId="4" borderId="0" xfId="0" applyNumberFormat="1" applyFont="1" applyFill="1" applyAlignment="1">
      <alignment horizontal="center" vertical="center"/>
    </xf>
    <xf numFmtId="165" fontId="15" fillId="5" borderId="0" xfId="0" applyNumberFormat="1" applyFont="1" applyFill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5" fontId="21" fillId="3" borderId="4" xfId="0" applyNumberFormat="1" applyFont="1" applyFill="1" applyBorder="1" applyAlignment="1">
      <alignment horizontal="center" vertical="center" wrapText="1"/>
    </xf>
    <xf numFmtId="165" fontId="21" fillId="4" borderId="4" xfId="0" applyNumberFormat="1" applyFont="1" applyFill="1" applyBorder="1" applyAlignment="1">
      <alignment horizontal="center" vertical="center" wrapText="1"/>
    </xf>
    <xf numFmtId="165" fontId="21" fillId="5" borderId="4" xfId="0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vertical="center"/>
    </xf>
    <xf numFmtId="0" fontId="5" fillId="0" borderId="0" xfId="6" applyFont="1"/>
    <xf numFmtId="0" fontId="15" fillId="0" borderId="0" xfId="6" applyFont="1"/>
    <xf numFmtId="0" fontId="5" fillId="0" borderId="0" xfId="6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15" fillId="0" borderId="4" xfId="6" applyFont="1" applyBorder="1"/>
    <xf numFmtId="0" fontId="25" fillId="0" borderId="4" xfId="0" applyFont="1" applyBorder="1" applyAlignment="1">
      <alignment vertical="center"/>
    </xf>
    <xf numFmtId="3" fontId="6" fillId="0" borderId="8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49" fontId="27" fillId="0" borderId="4" xfId="0" quotePrefix="1" applyNumberFormat="1" applyFont="1" applyBorder="1" applyAlignment="1">
      <alignment horizontal="justify" vertical="center" wrapText="1"/>
    </xf>
    <xf numFmtId="165" fontId="27" fillId="3" borderId="4" xfId="0" applyNumberFormat="1" applyFont="1" applyFill="1" applyBorder="1" applyAlignment="1">
      <alignment horizontal="center" vertical="center" wrapText="1"/>
    </xf>
    <xf numFmtId="165" fontId="27" fillId="4" borderId="4" xfId="0" applyNumberFormat="1" applyFont="1" applyFill="1" applyBorder="1" applyAlignment="1">
      <alignment horizontal="center" vertical="center" wrapText="1"/>
    </xf>
    <xf numFmtId="165" fontId="27" fillId="5" borderId="4" xfId="0" applyNumberFormat="1" applyFont="1" applyFill="1" applyBorder="1" applyAlignment="1">
      <alignment horizontal="center" vertical="center" wrapText="1"/>
    </xf>
    <xf numFmtId="0" fontId="28" fillId="0" borderId="4" xfId="0" quotePrefix="1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4" xfId="0" applyFont="1" applyBorder="1"/>
    <xf numFmtId="49" fontId="27" fillId="0" borderId="4" xfId="0" quotePrefix="1" applyNumberFormat="1" applyFont="1" applyBorder="1" applyAlignment="1">
      <alignment horizontal="justify" vertical="top" wrapText="1"/>
    </xf>
    <xf numFmtId="49" fontId="27" fillId="0" borderId="4" xfId="0" applyNumberFormat="1" applyFont="1" applyBorder="1" applyAlignment="1">
      <alignment horizontal="justify" vertical="top" wrapText="1"/>
    </xf>
    <xf numFmtId="165" fontId="15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0" fontId="30" fillId="0" borderId="4" xfId="5" applyFont="1" applyBorder="1" applyAlignment="1">
      <alignment horizontal="center" vertical="center" wrapText="1"/>
    </xf>
    <xf numFmtId="0" fontId="31" fillId="0" borderId="4" xfId="5" quotePrefix="1" applyFont="1" applyBorder="1" applyAlignment="1">
      <alignment horizontal="center" vertical="center" wrapText="1"/>
    </xf>
    <xf numFmtId="0" fontId="31" fillId="0" borderId="4" xfId="5" applyFont="1" applyBorder="1" applyAlignment="1">
      <alignment horizontal="center" vertical="center"/>
    </xf>
    <xf numFmtId="0" fontId="31" fillId="0" borderId="4" xfId="5" applyFont="1" applyBorder="1" applyAlignment="1">
      <alignment vertical="center" wrapText="1"/>
    </xf>
    <xf numFmtId="3" fontId="31" fillId="0" borderId="4" xfId="5" applyNumberFormat="1" applyFont="1" applyBorder="1" applyAlignment="1">
      <alignment horizontal="right" vertical="center"/>
    </xf>
    <xf numFmtId="3" fontId="30" fillId="0" borderId="4" xfId="5" applyNumberFormat="1" applyFont="1" applyBorder="1" applyAlignment="1">
      <alignment horizontal="right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4" xfId="4" applyNumberFormat="1" applyFont="1" applyFill="1" applyBorder="1" applyAlignment="1">
      <alignment horizontal="right" vertical="center" wrapText="1"/>
    </xf>
    <xf numFmtId="3" fontId="4" fillId="0" borderId="4" xfId="4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49" fontId="32" fillId="6" borderId="4" xfId="0" applyNumberFormat="1" applyFont="1" applyFill="1" applyBorder="1" applyAlignment="1">
      <alignment horizontal="justify" vertical="center" wrapText="1"/>
    </xf>
    <xf numFmtId="49" fontId="32" fillId="0" borderId="4" xfId="0" quotePrefix="1" applyNumberFormat="1" applyFont="1" applyBorder="1" applyAlignment="1">
      <alignment horizontal="justify" vertical="center" wrapText="1"/>
    </xf>
    <xf numFmtId="0" fontId="21" fillId="0" borderId="8" xfId="0" applyFont="1" applyBorder="1" applyAlignment="1">
      <alignment vertical="center" wrapText="1"/>
    </xf>
    <xf numFmtId="49" fontId="15" fillId="0" borderId="0" xfId="0" applyNumberFormat="1" applyFont="1" applyAlignment="1">
      <alignment horizontal="center"/>
    </xf>
    <xf numFmtId="49" fontId="6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/>
    </xf>
    <xf numFmtId="166" fontId="31" fillId="7" borderId="4" xfId="5" applyNumberFormat="1" applyFont="1" applyFill="1" applyBorder="1" applyAlignment="1">
      <alignment horizontal="center" vertical="center"/>
    </xf>
    <xf numFmtId="0" fontId="31" fillId="7" borderId="4" xfId="5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49" fontId="27" fillId="6" borderId="4" xfId="0" applyNumberFormat="1" applyFont="1" applyFill="1" applyBorder="1" applyAlignment="1">
      <alignment horizontal="justify" vertical="center" wrapText="1"/>
    </xf>
    <xf numFmtId="165" fontId="27" fillId="6" borderId="4" xfId="0" applyNumberFormat="1" applyFont="1" applyFill="1" applyBorder="1" applyAlignment="1">
      <alignment horizontal="center" vertical="center" wrapText="1"/>
    </xf>
    <xf numFmtId="0" fontId="28" fillId="6" borderId="4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2" fillId="0" borderId="5" xfId="0" applyFont="1" applyBorder="1" applyAlignment="1">
      <alignment horizontal="right" wrapText="1"/>
    </xf>
    <xf numFmtId="0" fontId="12" fillId="0" borderId="5" xfId="0" applyFont="1" applyBorder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21" fillId="0" borderId="4" xfId="0" applyFont="1" applyBorder="1" applyAlignment="1">
      <alignment horizontal="center" vertical="center" wrapText="1"/>
    </xf>
    <xf numFmtId="165" fontId="21" fillId="3" borderId="8" xfId="0" applyNumberFormat="1" applyFont="1" applyFill="1" applyBorder="1" applyAlignment="1">
      <alignment horizontal="center" vertical="center" wrapText="1"/>
    </xf>
    <xf numFmtId="165" fontId="21" fillId="3" borderId="12" xfId="0" applyNumberFormat="1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4" borderId="4" xfId="0" applyNumberFormat="1" applyFont="1" applyFill="1" applyBorder="1" applyAlignment="1">
      <alignment horizontal="center" vertical="center" wrapText="1"/>
    </xf>
    <xf numFmtId="165" fontId="21" fillId="5" borderId="4" xfId="0" applyNumberFormat="1" applyFont="1" applyFill="1" applyBorder="1" applyAlignment="1">
      <alignment horizontal="center" vertical="center" wrapText="1"/>
    </xf>
    <xf numFmtId="165" fontId="21" fillId="0" borderId="8" xfId="0" applyNumberFormat="1" applyFont="1" applyBorder="1" applyAlignment="1">
      <alignment horizontal="center" vertical="center"/>
    </xf>
    <xf numFmtId="165" fontId="21" fillId="0" borderId="12" xfId="0" applyNumberFormat="1" applyFont="1" applyBorder="1" applyAlignment="1">
      <alignment horizontal="center" vertical="center"/>
    </xf>
    <xf numFmtId="49" fontId="27" fillId="0" borderId="0" xfId="0" quotePrefix="1" applyNumberFormat="1" applyFont="1" applyAlignment="1">
      <alignment horizontal="left" vertical="center"/>
    </xf>
    <xf numFmtId="0" fontId="33" fillId="0" borderId="8" xfId="0" applyFont="1" applyBorder="1" applyAlignment="1">
      <alignment horizontal="left" vertical="top" wrapText="1"/>
    </xf>
    <xf numFmtId="0" fontId="33" fillId="0" borderId="1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0" borderId="0" xfId="6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6" applyFont="1" applyBorder="1" applyAlignment="1">
      <alignment horizontal="center" vertical="center"/>
    </xf>
    <xf numFmtId="0" fontId="5" fillId="0" borderId="14" xfId="6" applyFont="1" applyBorder="1" applyAlignment="1">
      <alignment horizontal="center" vertical="center"/>
    </xf>
    <xf numFmtId="0" fontId="5" fillId="0" borderId="15" xfId="6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5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0" fontId="30" fillId="0" borderId="4" xfId="5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9" fillId="0" borderId="0" xfId="7" applyFill="1" applyAlignment="1">
      <alignment horizontal="left"/>
    </xf>
    <xf numFmtId="49" fontId="3" fillId="0" borderId="0" xfId="0" applyNumberFormat="1" applyFont="1" applyAlignment="1">
      <alignment horizontal="left" vertical="top" wrapText="1"/>
    </xf>
    <xf numFmtId="49" fontId="29" fillId="0" borderId="0" xfId="7" applyNumberForma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6" xfId="0" applyFont="1" applyBorder="1" applyAlignment="1">
      <alignment horizontal="left" vertical="top"/>
    </xf>
    <xf numFmtId="49" fontId="4" fillId="0" borderId="0" xfId="0" applyNumberFormat="1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8">
    <cellStyle name="Comma" xfId="4" builtinId="3"/>
    <cellStyle name="Comma 2" xfId="3" xr:uid="{00000000-0005-0000-0000-000001000000}"/>
    <cellStyle name="Hyperlink" xfId="7" builtinId="8"/>
    <cellStyle name="Normal" xfId="0" builtinId="0"/>
    <cellStyle name="Normal 10" xfId="5" xr:uid="{00000000-0005-0000-0000-000004000000}"/>
    <cellStyle name="Normal 2" xfId="2" xr:uid="{00000000-0005-0000-0000-000005000000}"/>
    <cellStyle name="Normal 2 2" xfId="6" xr:uid="{00000000-0005-0000-0000-000006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utodesk.com/asean/collections/architecture-engineering-construction/overview?term=1-YEAR&amp;tab=subscriptio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FFFF00"/>
    <pageSetUpPr fitToPage="1"/>
  </sheetPr>
  <dimension ref="B2:I16"/>
  <sheetViews>
    <sheetView showGridLines="0" topLeftCell="A6" zoomScale="90" zoomScaleNormal="90" zoomScaleSheetLayoutView="85" workbookViewId="0">
      <selection activeCell="F12" sqref="F12"/>
    </sheetView>
  </sheetViews>
  <sheetFormatPr defaultColWidth="9.109375" defaultRowHeight="15.6"/>
  <cols>
    <col min="1" max="1" width="9.109375" style="35"/>
    <col min="2" max="2" width="6.33203125" style="35" customWidth="1"/>
    <col min="3" max="3" width="40.88671875" style="35" customWidth="1"/>
    <col min="4" max="4" width="36.88671875" style="35" customWidth="1"/>
    <col min="5" max="5" width="15.109375" style="35" customWidth="1"/>
    <col min="6" max="6" width="16.44140625" style="35" customWidth="1"/>
    <col min="7" max="7" width="17.33203125" style="43" customWidth="1"/>
    <col min="8" max="16384" width="9.109375" style="35"/>
  </cols>
  <sheetData>
    <row r="2" spans="2:9" ht="29.25" customHeight="1">
      <c r="B2" s="174" t="s">
        <v>144</v>
      </c>
      <c r="C2" s="175"/>
      <c r="D2" s="175"/>
      <c r="E2" s="175"/>
      <c r="F2" s="175"/>
      <c r="G2" s="175"/>
    </row>
    <row r="3" spans="2:9" ht="24.75" customHeight="1">
      <c r="B3" s="174" t="s">
        <v>12</v>
      </c>
      <c r="C3" s="174"/>
      <c r="D3" s="174"/>
      <c r="E3" s="174"/>
      <c r="F3" s="174"/>
      <c r="G3" s="174"/>
      <c r="H3" s="47"/>
      <c r="I3" s="47"/>
    </row>
    <row r="4" spans="2:9" ht="23.25" customHeight="1">
      <c r="F4" s="172" t="s">
        <v>145</v>
      </c>
      <c r="G4" s="173"/>
    </row>
    <row r="5" spans="2:9" ht="36" customHeight="1">
      <c r="B5" s="39" t="s">
        <v>1</v>
      </c>
      <c r="C5" s="39" t="s">
        <v>2</v>
      </c>
      <c r="D5" s="39" t="s">
        <v>3</v>
      </c>
      <c r="E5" s="39" t="s">
        <v>4</v>
      </c>
      <c r="F5" s="39" t="s">
        <v>5</v>
      </c>
      <c r="G5" s="39" t="s">
        <v>6</v>
      </c>
    </row>
    <row r="6" spans="2:9" ht="35.25" customHeight="1">
      <c r="B6" s="36">
        <v>1</v>
      </c>
      <c r="C6" s="34" t="s">
        <v>13</v>
      </c>
      <c r="D6" s="36"/>
      <c r="E6" s="36" t="s">
        <v>7</v>
      </c>
      <c r="F6" s="48">
        <f>'NC-TV'!F10</f>
        <v>825369230.76923084</v>
      </c>
      <c r="G6" s="46" t="s">
        <v>131</v>
      </c>
    </row>
    <row r="7" spans="2:9" ht="35.25" customHeight="1">
      <c r="B7" s="36">
        <v>2</v>
      </c>
      <c r="C7" s="34" t="s">
        <v>14</v>
      </c>
      <c r="D7" s="154" t="s">
        <v>154</v>
      </c>
      <c r="E7" s="36" t="s">
        <v>8</v>
      </c>
      <c r="F7" s="50">
        <f>0.55*F6</f>
        <v>453953076.92307699</v>
      </c>
      <c r="G7" s="49"/>
    </row>
    <row r="8" spans="2:9" ht="35.25" customHeight="1">
      <c r="B8" s="36">
        <v>3</v>
      </c>
      <c r="C8" s="34" t="s">
        <v>15</v>
      </c>
      <c r="D8" s="36"/>
      <c r="E8" s="36" t="s">
        <v>16</v>
      </c>
      <c r="F8" s="50">
        <f>CPK!E11</f>
        <v>170271666.66666669</v>
      </c>
      <c r="G8" s="46" t="s">
        <v>132</v>
      </c>
    </row>
    <row r="9" spans="2:9" ht="35.25" customHeight="1">
      <c r="B9" s="36">
        <v>4</v>
      </c>
      <c r="C9" s="34" t="s">
        <v>17</v>
      </c>
      <c r="D9" s="36" t="s">
        <v>18</v>
      </c>
      <c r="E9" s="36" t="s">
        <v>19</v>
      </c>
      <c r="F9" s="50">
        <f>6%*(F6+F7)</f>
        <v>76759338.461538479</v>
      </c>
      <c r="G9" s="49"/>
    </row>
    <row r="10" spans="2:9" ht="35.25" customHeight="1">
      <c r="B10" s="36">
        <v>5</v>
      </c>
      <c r="C10" s="34" t="s">
        <v>20</v>
      </c>
      <c r="D10" s="51" t="s">
        <v>181</v>
      </c>
      <c r="E10" s="36" t="s">
        <v>21</v>
      </c>
      <c r="F10" s="50">
        <f>(F6+F7+F8+F9)*8%</f>
        <v>122108265.02564107</v>
      </c>
      <c r="G10" s="49"/>
    </row>
    <row r="11" spans="2:9" ht="35.25" customHeight="1">
      <c r="B11" s="36"/>
      <c r="C11" s="52" t="s">
        <v>9</v>
      </c>
      <c r="D11" s="36" t="s">
        <v>22</v>
      </c>
      <c r="E11" s="36" t="s">
        <v>10</v>
      </c>
      <c r="F11" s="50">
        <f>SUM(F6:F10)</f>
        <v>1648461577.8461542</v>
      </c>
      <c r="G11" s="49"/>
    </row>
    <row r="12" spans="2:9" ht="31.5" customHeight="1">
      <c r="B12" s="53"/>
      <c r="C12" s="64" t="s">
        <v>11</v>
      </c>
      <c r="D12" s="53"/>
      <c r="E12" s="53"/>
      <c r="F12" s="54">
        <f>ROUNDDOWN(F11,-5)</f>
        <v>1648400000</v>
      </c>
      <c r="G12" s="55"/>
    </row>
    <row r="13" spans="2:9">
      <c r="B13" s="176" t="s">
        <v>135</v>
      </c>
      <c r="C13" s="176"/>
      <c r="D13" s="176"/>
      <c r="E13" s="176"/>
      <c r="F13" s="176"/>
      <c r="G13" s="176"/>
    </row>
    <row r="14" spans="2:9">
      <c r="B14" s="171" t="s">
        <v>176</v>
      </c>
      <c r="C14" s="171"/>
      <c r="D14" s="171"/>
      <c r="E14" s="171"/>
      <c r="F14" s="171"/>
      <c r="G14" s="171"/>
    </row>
    <row r="15" spans="2:9">
      <c r="B15" s="171" t="s">
        <v>136</v>
      </c>
      <c r="C15" s="171"/>
      <c r="D15" s="171"/>
      <c r="E15" s="171"/>
      <c r="F15" s="171"/>
      <c r="G15" s="171"/>
    </row>
    <row r="16" spans="2:9">
      <c r="B16" s="171" t="s">
        <v>137</v>
      </c>
      <c r="C16" s="171"/>
      <c r="D16" s="171"/>
      <c r="E16" s="171"/>
      <c r="F16" s="171"/>
      <c r="G16" s="171"/>
    </row>
  </sheetData>
  <mergeCells count="7">
    <mergeCell ref="B16:G16"/>
    <mergeCell ref="B14:G14"/>
    <mergeCell ref="F4:G4"/>
    <mergeCell ref="B2:G2"/>
    <mergeCell ref="B3:G3"/>
    <mergeCell ref="B13:G13"/>
    <mergeCell ref="B15:G15"/>
  </mergeCells>
  <phoneticPr fontId="2" type="noConversion"/>
  <printOptions horizontalCentered="1"/>
  <pageMargins left="0.78740157480314965" right="0.78740157480314965" top="1.1811023622047243" bottom="0.78740157480314965" header="0.31496062992125984" footer="0.31496062992125984"/>
  <pageSetup paperSize="9" scale="9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2:G15"/>
  <sheetViews>
    <sheetView showGridLines="0" topLeftCell="A5" zoomScale="90" zoomScaleNormal="90" zoomScaleSheetLayoutView="70" workbookViewId="0">
      <selection activeCell="B13" sqref="B13:F14"/>
    </sheetView>
  </sheetViews>
  <sheetFormatPr defaultColWidth="9.109375" defaultRowHeight="17.399999999999999"/>
  <cols>
    <col min="1" max="1" width="4.6640625" style="56" customWidth="1"/>
    <col min="2" max="2" width="7.88671875" style="58" customWidth="1"/>
    <col min="3" max="3" width="55.88671875" style="56" customWidth="1"/>
    <col min="4" max="4" width="19.109375" style="56" customWidth="1"/>
    <col min="5" max="5" width="21.44140625" style="56" customWidth="1"/>
    <col min="6" max="6" width="22.88671875" style="57" customWidth="1"/>
    <col min="7" max="16384" width="9.109375" style="56"/>
  </cols>
  <sheetData>
    <row r="2" spans="2:7" ht="31.5" customHeight="1">
      <c r="B2" s="174" t="s">
        <v>128</v>
      </c>
      <c r="C2" s="175"/>
      <c r="D2" s="175"/>
      <c r="E2" s="175"/>
      <c r="F2" s="175"/>
    </row>
    <row r="3" spans="2:7" ht="26.25" customHeight="1">
      <c r="B3" s="174" t="s">
        <v>12</v>
      </c>
      <c r="C3" s="174"/>
      <c r="D3" s="174"/>
      <c r="E3" s="174"/>
      <c r="F3" s="174"/>
    </row>
    <row r="4" spans="2:7" ht="24.75" customHeight="1">
      <c r="B4" s="43"/>
      <c r="C4" s="1"/>
      <c r="D4" s="1"/>
      <c r="E4" s="172" t="s">
        <v>0</v>
      </c>
      <c r="F4" s="173"/>
    </row>
    <row r="5" spans="2:7" s="57" customFormat="1" ht="38.25" customHeight="1">
      <c r="B5" s="39" t="s">
        <v>1</v>
      </c>
      <c r="C5" s="39" t="s">
        <v>29</v>
      </c>
      <c r="D5" s="39" t="s">
        <v>28</v>
      </c>
      <c r="E5" s="39" t="s">
        <v>30</v>
      </c>
      <c r="F5" s="39" t="s">
        <v>31</v>
      </c>
    </row>
    <row r="6" spans="2:7" s="57" customFormat="1" ht="34.5" customHeight="1">
      <c r="B6" s="60" t="s">
        <v>32</v>
      </c>
      <c r="C6" s="60" t="s">
        <v>33</v>
      </c>
      <c r="D6" s="60" t="s">
        <v>34</v>
      </c>
      <c r="E6" s="60" t="s">
        <v>35</v>
      </c>
      <c r="F6" s="39" t="s">
        <v>36</v>
      </c>
    </row>
    <row r="7" spans="2:7" s="57" customFormat="1" ht="34.5" customHeight="1">
      <c r="B7" s="65">
        <v>1</v>
      </c>
      <c r="C7" s="68" t="s">
        <v>139</v>
      </c>
      <c r="D7" s="65">
        <f>SUBTOTAL(9,'NC-CT-TV'!G9:G17)</f>
        <v>76</v>
      </c>
      <c r="E7" s="99">
        <f>Lương!G7</f>
        <v>1500000</v>
      </c>
      <c r="F7" s="66">
        <f>D7*E7</f>
        <v>114000000</v>
      </c>
      <c r="G7" s="59"/>
    </row>
    <row r="8" spans="2:7" s="57" customFormat="1" ht="34.5" customHeight="1">
      <c r="B8" s="65">
        <v>3</v>
      </c>
      <c r="C8" s="69" t="s">
        <v>140</v>
      </c>
      <c r="D8" s="65">
        <f>SUBTOTAL(9,'NC-CT-TV'!J9:J17)</f>
        <v>244</v>
      </c>
      <c r="E8" s="98">
        <f>Lương!G8</f>
        <v>1150000</v>
      </c>
      <c r="F8" s="66">
        <f>D8*E8</f>
        <v>280600000</v>
      </c>
      <c r="G8" s="59"/>
    </row>
    <row r="9" spans="2:7" s="57" customFormat="1" ht="34.5" customHeight="1">
      <c r="B9" s="65">
        <v>4</v>
      </c>
      <c r="C9" s="71" t="s">
        <v>141</v>
      </c>
      <c r="D9" s="65">
        <f>SUBTOTAL(9,'NC-CT-TV'!M9:M17)</f>
        <v>560</v>
      </c>
      <c r="E9" s="98">
        <f>Lương!G9</f>
        <v>769230.76923076925</v>
      </c>
      <c r="F9" s="66">
        <f>D9*E9</f>
        <v>430769230.76923078</v>
      </c>
      <c r="G9" s="59"/>
    </row>
    <row r="10" spans="2:7" s="57" customFormat="1" ht="34.5" customHeight="1">
      <c r="B10" s="61"/>
      <c r="C10" s="44" t="s">
        <v>37</v>
      </c>
      <c r="D10" s="62"/>
      <c r="E10" s="45"/>
      <c r="F10" s="63">
        <f>SUBTOTAL(9,F7:F9)</f>
        <v>825369230.76923084</v>
      </c>
    </row>
    <row r="11" spans="2:7">
      <c r="B11" s="178" t="s">
        <v>135</v>
      </c>
      <c r="C11" s="171"/>
      <c r="D11" s="171"/>
      <c r="E11" s="171"/>
      <c r="F11" s="171"/>
    </row>
    <row r="12" spans="2:7">
      <c r="B12" s="178" t="s">
        <v>138</v>
      </c>
      <c r="C12" s="171"/>
      <c r="D12" s="171"/>
      <c r="E12" s="171"/>
      <c r="F12" s="171"/>
    </row>
    <row r="13" spans="2:7">
      <c r="B13" s="178" t="s">
        <v>177</v>
      </c>
      <c r="C13" s="178"/>
      <c r="D13" s="178"/>
      <c r="E13" s="178"/>
      <c r="F13" s="178"/>
    </row>
    <row r="14" spans="2:7">
      <c r="B14" s="178"/>
      <c r="C14" s="178"/>
      <c r="D14" s="178"/>
      <c r="E14" s="178"/>
      <c r="F14" s="178"/>
    </row>
    <row r="15" spans="2:7">
      <c r="B15" s="177"/>
      <c r="C15" s="177"/>
      <c r="D15" s="177"/>
      <c r="E15" s="177"/>
      <c r="F15" s="177"/>
    </row>
  </sheetData>
  <mergeCells count="7">
    <mergeCell ref="B15:F15"/>
    <mergeCell ref="B12:F12"/>
    <mergeCell ref="B13:F14"/>
    <mergeCell ref="B2:F2"/>
    <mergeCell ref="B3:F3"/>
    <mergeCell ref="E4:F4"/>
    <mergeCell ref="B11:F11"/>
  </mergeCells>
  <printOptions horizontalCentered="1"/>
  <pageMargins left="0.78740157480314965" right="0.78740157480314965" top="1.1811023622047243" bottom="0.78740157480314965" header="0.31496062992125984" footer="0.31496062992125984"/>
  <pageSetup paperSize="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00B050"/>
    <pageSetUpPr fitToPage="1"/>
  </sheetPr>
  <dimension ref="B2:N23"/>
  <sheetViews>
    <sheetView showGridLines="0" tabSelected="1" topLeftCell="A6" zoomScale="70" zoomScaleNormal="70" zoomScaleSheetLayoutView="70" workbookViewId="0">
      <selection activeCell="F16" sqref="F16"/>
    </sheetView>
  </sheetViews>
  <sheetFormatPr defaultColWidth="9.109375" defaultRowHeight="13.2"/>
  <cols>
    <col min="1" max="1" width="3.44140625" style="102" customWidth="1"/>
    <col min="2" max="2" width="8.6640625" style="160" customWidth="1"/>
    <col min="3" max="3" width="57.6640625" style="104" customWidth="1"/>
    <col min="4" max="4" width="42.33203125" style="104" customWidth="1"/>
    <col min="5" max="7" width="10.6640625" style="105" customWidth="1"/>
    <col min="8" max="10" width="10.6640625" style="106" customWidth="1"/>
    <col min="11" max="13" width="10.6640625" style="107" customWidth="1"/>
    <col min="14" max="14" width="39.6640625" style="102" customWidth="1"/>
    <col min="15" max="16384" width="9.109375" style="102"/>
  </cols>
  <sheetData>
    <row r="2" spans="2:14" ht="16.8">
      <c r="B2" s="180" t="s">
        <v>129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2:14" s="103" customFormat="1" ht="16.8">
      <c r="B3" s="181" t="s">
        <v>12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</row>
    <row r="4" spans="2:14">
      <c r="E4" s="139"/>
      <c r="F4" s="139"/>
      <c r="G4" s="139"/>
      <c r="H4" s="139"/>
      <c r="I4" s="139"/>
      <c r="J4" s="139"/>
      <c r="K4" s="139"/>
      <c r="L4" s="139"/>
      <c r="M4" s="139"/>
    </row>
    <row r="5" spans="2:14" ht="16.8">
      <c r="B5" s="179" t="s">
        <v>1</v>
      </c>
      <c r="C5" s="179" t="s">
        <v>23</v>
      </c>
      <c r="D5" s="179" t="s">
        <v>24</v>
      </c>
      <c r="E5" s="188" t="s">
        <v>25</v>
      </c>
      <c r="F5" s="189"/>
      <c r="G5" s="189"/>
      <c r="H5" s="189"/>
      <c r="I5" s="189"/>
      <c r="J5" s="189"/>
      <c r="K5" s="189"/>
      <c r="L5" s="189"/>
      <c r="M5" s="189"/>
      <c r="N5" s="182" t="s">
        <v>6</v>
      </c>
    </row>
    <row r="6" spans="2:14" ht="51" customHeight="1">
      <c r="B6" s="179"/>
      <c r="C6" s="179"/>
      <c r="D6" s="179"/>
      <c r="E6" s="183" t="str">
        <f>Lương!C7</f>
        <v>Quản lý BIM của dự án 
(BIM Manager)
Chuyên gia nhóm I</v>
      </c>
      <c r="F6" s="184"/>
      <c r="G6" s="185"/>
      <c r="H6" s="186" t="str">
        <f>Lương!C8</f>
        <v>Điều phối BIM cho dự án (BIM Coordinator)
Chuyên gia nhóm II</v>
      </c>
      <c r="I6" s="186"/>
      <c r="J6" s="186"/>
      <c r="K6" s="187" t="str">
        <f>Lương!C9</f>
        <v>Chuyên viên tạo lập mô hình BIM (BIM Modeller)
Chuyên gia nhóm IV</v>
      </c>
      <c r="L6" s="187"/>
      <c r="M6" s="187"/>
      <c r="N6" s="182"/>
    </row>
    <row r="7" spans="2:14" ht="16.8">
      <c r="B7" s="108"/>
      <c r="C7" s="108"/>
      <c r="D7" s="108"/>
      <c r="E7" s="110" t="s">
        <v>26</v>
      </c>
      <c r="F7" s="110" t="s">
        <v>27</v>
      </c>
      <c r="G7" s="110" t="s">
        <v>28</v>
      </c>
      <c r="H7" s="111" t="s">
        <v>26</v>
      </c>
      <c r="I7" s="111" t="s">
        <v>27</v>
      </c>
      <c r="J7" s="111" t="s">
        <v>28</v>
      </c>
      <c r="K7" s="112" t="s">
        <v>26</v>
      </c>
      <c r="L7" s="112" t="s">
        <v>27</v>
      </c>
      <c r="M7" s="112" t="s">
        <v>28</v>
      </c>
      <c r="N7" s="109"/>
    </row>
    <row r="8" spans="2:14" ht="16.8">
      <c r="B8" s="161">
        <v>1</v>
      </c>
      <c r="C8" s="159" t="s">
        <v>126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6"/>
    </row>
    <row r="9" spans="2:14" ht="33.6">
      <c r="B9" s="162">
        <v>1.1000000000000001</v>
      </c>
      <c r="C9" s="137" t="s">
        <v>162</v>
      </c>
      <c r="D9" s="138" t="s">
        <v>161</v>
      </c>
      <c r="E9" s="129">
        <v>1</v>
      </c>
      <c r="F9" s="129">
        <v>2</v>
      </c>
      <c r="G9" s="129">
        <f>F9*E9</f>
        <v>2</v>
      </c>
      <c r="H9" s="130">
        <v>1</v>
      </c>
      <c r="I9" s="130">
        <v>2</v>
      </c>
      <c r="J9" s="130">
        <f>I9*H9</f>
        <v>2</v>
      </c>
      <c r="K9" s="131"/>
      <c r="L9" s="131"/>
      <c r="M9" s="131"/>
      <c r="N9" s="132" t="s">
        <v>133</v>
      </c>
    </row>
    <row r="10" spans="2:14" ht="50.4">
      <c r="B10" s="162">
        <v>1.2</v>
      </c>
      <c r="C10" s="137" t="s">
        <v>163</v>
      </c>
      <c r="D10" s="128"/>
      <c r="E10" s="129">
        <v>1</v>
      </c>
      <c r="F10" s="129">
        <v>2</v>
      </c>
      <c r="G10" s="129">
        <f>E10*F10</f>
        <v>2</v>
      </c>
      <c r="H10" s="130">
        <v>1</v>
      </c>
      <c r="I10" s="130">
        <v>2</v>
      </c>
      <c r="J10" s="130">
        <f>I10*H10</f>
        <v>2</v>
      </c>
      <c r="K10" s="131"/>
      <c r="L10" s="131"/>
      <c r="M10" s="131"/>
      <c r="N10" s="132" t="s">
        <v>133</v>
      </c>
    </row>
    <row r="11" spans="2:14" ht="50.4">
      <c r="B11" s="162">
        <v>1.3</v>
      </c>
      <c r="C11" s="137" t="s">
        <v>159</v>
      </c>
      <c r="D11" s="158" t="s">
        <v>160</v>
      </c>
      <c r="E11" s="129">
        <v>1</v>
      </c>
      <c r="F11" s="129">
        <v>2</v>
      </c>
      <c r="G11" s="129">
        <f>F11*E11</f>
        <v>2</v>
      </c>
      <c r="H11" s="130"/>
      <c r="I11" s="130"/>
      <c r="J11" s="130"/>
      <c r="K11" s="131"/>
      <c r="L11" s="131"/>
      <c r="M11" s="131"/>
      <c r="N11" s="132" t="s">
        <v>133</v>
      </c>
    </row>
    <row r="12" spans="2:14" ht="16.8">
      <c r="B12" s="163">
        <v>2</v>
      </c>
      <c r="C12" s="191" t="s">
        <v>170</v>
      </c>
      <c r="D12" s="192"/>
      <c r="E12" s="155"/>
      <c r="F12" s="155"/>
      <c r="G12" s="155"/>
      <c r="H12" s="155"/>
      <c r="I12" s="155"/>
      <c r="J12" s="155"/>
      <c r="K12" s="155"/>
      <c r="L12" s="155"/>
      <c r="M12" s="155"/>
      <c r="N12" s="156"/>
    </row>
    <row r="13" spans="2:14" ht="33.6">
      <c r="B13" s="167">
        <v>2.1</v>
      </c>
      <c r="C13" s="168" t="s">
        <v>172</v>
      </c>
      <c r="D13" s="157" t="s">
        <v>171</v>
      </c>
      <c r="E13" s="169">
        <v>1</v>
      </c>
      <c r="F13" s="169">
        <v>30</v>
      </c>
      <c r="G13" s="169">
        <f t="shared" ref="G13:G17" si="0">F13*E13</f>
        <v>30</v>
      </c>
      <c r="H13" s="169">
        <v>3</v>
      </c>
      <c r="I13" s="169">
        <v>30</v>
      </c>
      <c r="J13" s="169">
        <f t="shared" ref="J13:J17" si="1">I13*H13</f>
        <v>90</v>
      </c>
      <c r="K13" s="169">
        <v>8</v>
      </c>
      <c r="L13" s="169">
        <v>30</v>
      </c>
      <c r="M13" s="169">
        <f t="shared" ref="M13" si="2">L13*K13</f>
        <v>240</v>
      </c>
      <c r="N13" s="170" t="s">
        <v>179</v>
      </c>
    </row>
    <row r="14" spans="2:14" ht="33.6">
      <c r="B14" s="167">
        <v>2.2000000000000002</v>
      </c>
      <c r="C14" s="157" t="s">
        <v>164</v>
      </c>
      <c r="D14" s="168" t="s">
        <v>157</v>
      </c>
      <c r="E14" s="169">
        <v>1</v>
      </c>
      <c r="F14" s="169">
        <v>15</v>
      </c>
      <c r="G14" s="169">
        <f t="shared" si="0"/>
        <v>15</v>
      </c>
      <c r="H14" s="169">
        <v>3</v>
      </c>
      <c r="I14" s="169">
        <v>15</v>
      </c>
      <c r="J14" s="169">
        <f t="shared" si="1"/>
        <v>45</v>
      </c>
      <c r="K14" s="169">
        <v>8</v>
      </c>
      <c r="L14" s="169">
        <v>15</v>
      </c>
      <c r="M14" s="169">
        <f>L14*K14</f>
        <v>120</v>
      </c>
      <c r="N14" s="170" t="s">
        <v>182</v>
      </c>
    </row>
    <row r="15" spans="2:14" ht="33.6">
      <c r="B15" s="167">
        <v>2.2999999999999998</v>
      </c>
      <c r="C15" s="168" t="s">
        <v>165</v>
      </c>
      <c r="D15" s="168" t="s">
        <v>134</v>
      </c>
      <c r="E15" s="169">
        <v>1</v>
      </c>
      <c r="F15" s="169">
        <v>15</v>
      </c>
      <c r="G15" s="169">
        <f t="shared" si="0"/>
        <v>15</v>
      </c>
      <c r="H15" s="169">
        <v>3</v>
      </c>
      <c r="I15" s="169">
        <v>15</v>
      </c>
      <c r="J15" s="169">
        <f t="shared" si="1"/>
        <v>45</v>
      </c>
      <c r="K15" s="169">
        <v>8</v>
      </c>
      <c r="L15" s="169">
        <v>15</v>
      </c>
      <c r="M15" s="169">
        <f>L15*K15</f>
        <v>120</v>
      </c>
      <c r="N15" s="170" t="s">
        <v>182</v>
      </c>
    </row>
    <row r="16" spans="2:14" ht="84">
      <c r="B16" s="167">
        <v>2.4</v>
      </c>
      <c r="C16" s="168" t="s">
        <v>167</v>
      </c>
      <c r="D16" s="168" t="s">
        <v>168</v>
      </c>
      <c r="E16" s="169">
        <v>1</v>
      </c>
      <c r="F16" s="169">
        <v>5</v>
      </c>
      <c r="G16" s="169">
        <f t="shared" si="0"/>
        <v>5</v>
      </c>
      <c r="H16" s="169">
        <v>3</v>
      </c>
      <c r="I16" s="169">
        <v>10</v>
      </c>
      <c r="J16" s="169">
        <f t="shared" si="1"/>
        <v>30</v>
      </c>
      <c r="K16" s="169">
        <v>4</v>
      </c>
      <c r="L16" s="169">
        <v>10</v>
      </c>
      <c r="M16" s="169">
        <f>L16*K16</f>
        <v>40</v>
      </c>
      <c r="N16" s="170" t="s">
        <v>173</v>
      </c>
    </row>
    <row r="17" spans="2:14" ht="67.2">
      <c r="B17" s="167">
        <v>2.5</v>
      </c>
      <c r="C17" s="168" t="s">
        <v>156</v>
      </c>
      <c r="D17" s="168" t="s">
        <v>169</v>
      </c>
      <c r="E17" s="169">
        <v>1</v>
      </c>
      <c r="F17" s="169">
        <v>5</v>
      </c>
      <c r="G17" s="169">
        <f t="shared" si="0"/>
        <v>5</v>
      </c>
      <c r="H17" s="169">
        <v>3</v>
      </c>
      <c r="I17" s="169">
        <v>10</v>
      </c>
      <c r="J17" s="169">
        <f t="shared" si="1"/>
        <v>30</v>
      </c>
      <c r="K17" s="169">
        <v>4</v>
      </c>
      <c r="L17" s="169">
        <v>10</v>
      </c>
      <c r="M17" s="169">
        <f>L17*K17</f>
        <v>40</v>
      </c>
      <c r="N17" s="170" t="s">
        <v>173</v>
      </c>
    </row>
    <row r="18" spans="2:14" ht="16.8">
      <c r="B18" s="193" t="s">
        <v>180</v>
      </c>
      <c r="C18" s="193"/>
      <c r="D18" s="193"/>
      <c r="E18" s="194">
        <f>SUM(G9:G17)</f>
        <v>76</v>
      </c>
      <c r="F18" s="194"/>
      <c r="G18" s="194"/>
      <c r="H18" s="195">
        <f>SUM(J9:J17)</f>
        <v>244</v>
      </c>
      <c r="I18" s="195"/>
      <c r="J18" s="195"/>
      <c r="K18" s="196">
        <f>SUM(M13:M17)</f>
        <v>560</v>
      </c>
      <c r="L18" s="196"/>
      <c r="M18" s="196"/>
      <c r="N18" s="136"/>
    </row>
    <row r="19" spans="2:14">
      <c r="B19" s="104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spans="2:14" ht="16.8"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</row>
    <row r="21" spans="2:14" ht="16.8">
      <c r="B21" s="164"/>
      <c r="C21" s="140"/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2"/>
    </row>
    <row r="22" spans="2:14" ht="16.8">
      <c r="B22" s="164"/>
      <c r="C22" s="140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2"/>
    </row>
    <row r="23" spans="2:14" ht="16.8">
      <c r="B23" s="164"/>
      <c r="C23" s="140"/>
      <c r="D23" s="140"/>
      <c r="E23" s="141"/>
      <c r="F23" s="141"/>
      <c r="G23" s="141"/>
      <c r="H23" s="141"/>
      <c r="I23" s="141"/>
      <c r="J23" s="141"/>
      <c r="K23" s="141"/>
      <c r="L23" s="141"/>
      <c r="M23" s="141"/>
      <c r="N23" s="142"/>
    </row>
  </sheetData>
  <mergeCells count="16">
    <mergeCell ref="B20:N20"/>
    <mergeCell ref="C12:D12"/>
    <mergeCell ref="B18:D18"/>
    <mergeCell ref="E18:G18"/>
    <mergeCell ref="H18:J18"/>
    <mergeCell ref="K18:M18"/>
    <mergeCell ref="B5:B6"/>
    <mergeCell ref="B2:N2"/>
    <mergeCell ref="B3:N3"/>
    <mergeCell ref="C5:C6"/>
    <mergeCell ref="N5:N6"/>
    <mergeCell ref="D5:D6"/>
    <mergeCell ref="E6:G6"/>
    <mergeCell ref="H6:J6"/>
    <mergeCell ref="K6:M6"/>
    <mergeCell ref="E5:M5"/>
  </mergeCells>
  <phoneticPr fontId="2" type="noConversion"/>
  <printOptions horizontalCentered="1"/>
  <pageMargins left="0.78740157480314965" right="0.78740157480314965" top="1.1811023622047243" bottom="0.78740157480314965" header="0.31496062992125984" footer="0.31496062992125984"/>
  <pageSetup paperSize="9" scale="56" fitToHeight="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B2:G11"/>
  <sheetViews>
    <sheetView showGridLines="0" view="pageBreakPreview" zoomScale="85" zoomScaleNormal="100" zoomScaleSheetLayoutView="85" workbookViewId="0">
      <selection activeCell="B10" sqref="B10:G11"/>
    </sheetView>
  </sheetViews>
  <sheetFormatPr defaultColWidth="9.109375" defaultRowHeight="15.6"/>
  <cols>
    <col min="1" max="1" width="5.44140625" style="1" customWidth="1"/>
    <col min="2" max="2" width="9.44140625" style="1" customWidth="1"/>
    <col min="3" max="3" width="49.44140625" style="1" customWidth="1"/>
    <col min="4" max="4" width="14.44140625" style="1" customWidth="1"/>
    <col min="5" max="5" width="22" style="1" customWidth="1"/>
    <col min="6" max="6" width="14.44140625" style="1" customWidth="1"/>
    <col min="7" max="7" width="15.44140625" style="1" customWidth="1"/>
    <col min="8" max="16384" width="9.109375" style="1"/>
  </cols>
  <sheetData>
    <row r="2" spans="2:7" ht="30.75" customHeight="1">
      <c r="B2" s="180" t="s">
        <v>41</v>
      </c>
      <c r="C2" s="197"/>
      <c r="D2" s="197"/>
      <c r="E2" s="197"/>
      <c r="F2" s="197"/>
      <c r="G2" s="197"/>
    </row>
    <row r="3" spans="2:7" ht="39" customHeight="1">
      <c r="B3" s="174" t="s">
        <v>42</v>
      </c>
      <c r="C3" s="174"/>
      <c r="D3" s="174"/>
      <c r="E3" s="174"/>
      <c r="F3" s="174"/>
      <c r="G3" s="174"/>
    </row>
    <row r="4" spans="2:7" ht="21.75" customHeight="1">
      <c r="D4" s="172" t="s">
        <v>38</v>
      </c>
      <c r="E4" s="172"/>
      <c r="F4" s="172"/>
      <c r="G4" s="173"/>
    </row>
    <row r="5" spans="2:7" ht="33.75" customHeight="1">
      <c r="B5" s="39" t="s">
        <v>1</v>
      </c>
      <c r="C5" s="39" t="s">
        <v>43</v>
      </c>
      <c r="D5" s="39" t="s">
        <v>40</v>
      </c>
      <c r="E5" s="39" t="s">
        <v>44</v>
      </c>
      <c r="F5" s="39" t="s">
        <v>45</v>
      </c>
      <c r="G5" s="39" t="s">
        <v>46</v>
      </c>
    </row>
    <row r="6" spans="2:7" s="35" customFormat="1" ht="21.75" customHeight="1">
      <c r="B6" s="95" t="s">
        <v>32</v>
      </c>
      <c r="C6" s="95" t="s">
        <v>33</v>
      </c>
      <c r="D6" s="96" t="s">
        <v>34</v>
      </c>
      <c r="E6" s="96"/>
      <c r="F6" s="96"/>
      <c r="G6" s="96" t="s">
        <v>35</v>
      </c>
    </row>
    <row r="7" spans="2:7" ht="46.8">
      <c r="B7" s="67">
        <v>1</v>
      </c>
      <c r="C7" s="68" t="s">
        <v>151</v>
      </c>
      <c r="D7" s="97">
        <v>1</v>
      </c>
      <c r="E7" s="97" t="s">
        <v>47</v>
      </c>
      <c r="F7" s="98">
        <v>39000000</v>
      </c>
      <c r="G7" s="98">
        <f>F7/26</f>
        <v>1500000</v>
      </c>
    </row>
    <row r="8" spans="2:7" ht="37.5" customHeight="1">
      <c r="B8" s="100">
        <v>2</v>
      </c>
      <c r="C8" s="69" t="s">
        <v>142</v>
      </c>
      <c r="D8" s="100">
        <v>3</v>
      </c>
      <c r="E8" s="100" t="s">
        <v>48</v>
      </c>
      <c r="F8" s="98">
        <v>29900000</v>
      </c>
      <c r="G8" s="98">
        <f>F8/26</f>
        <v>1150000</v>
      </c>
    </row>
    <row r="9" spans="2:7" ht="31.2">
      <c r="B9" s="70">
        <v>3</v>
      </c>
      <c r="C9" s="71" t="s">
        <v>143</v>
      </c>
      <c r="D9" s="100">
        <v>8</v>
      </c>
      <c r="E9" s="100" t="s">
        <v>49</v>
      </c>
      <c r="F9" s="98">
        <v>20000000</v>
      </c>
      <c r="G9" s="98">
        <f>F9/26</f>
        <v>769230.76923076925</v>
      </c>
    </row>
    <row r="10" spans="2:7" ht="54" customHeight="1">
      <c r="B10" s="198" t="s">
        <v>178</v>
      </c>
      <c r="C10" s="198"/>
      <c r="D10" s="198"/>
      <c r="E10" s="198"/>
      <c r="F10" s="198"/>
      <c r="G10" s="198"/>
    </row>
    <row r="11" spans="2:7" ht="21.9" customHeight="1">
      <c r="B11" s="199"/>
      <c r="C11" s="199"/>
      <c r="D11" s="199"/>
      <c r="E11" s="199"/>
      <c r="F11" s="199"/>
      <c r="G11" s="199"/>
    </row>
  </sheetData>
  <mergeCells count="4">
    <mergeCell ref="B2:G2"/>
    <mergeCell ref="B3:G3"/>
    <mergeCell ref="D4:G4"/>
    <mergeCell ref="B10:G11"/>
  </mergeCells>
  <phoneticPr fontId="2" type="noConversion"/>
  <printOptions horizontalCentered="1"/>
  <pageMargins left="0.78740157480314965" right="0.78740157480314965" top="1.1811023622047243" bottom="0.78740157480314965" header="0.31496062992125984" footer="0.31496062992125984"/>
  <pageSetup paperSize="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12"/>
  <sheetViews>
    <sheetView view="pageBreakPreview" zoomScaleNormal="100" zoomScaleSheetLayoutView="100" workbookViewId="0">
      <selection activeCell="F11" sqref="F11"/>
    </sheetView>
  </sheetViews>
  <sheetFormatPr defaultColWidth="8.88671875" defaultRowHeight="13.2"/>
  <cols>
    <col min="3" max="3" width="25.44140625" customWidth="1"/>
    <col min="4" max="4" width="26.6640625" customWidth="1"/>
    <col min="5" max="5" width="14.109375" bestFit="1" customWidth="1"/>
    <col min="6" max="6" width="21" customWidth="1"/>
  </cols>
  <sheetData>
    <row r="2" spans="2:6" ht="16.8">
      <c r="B2" s="200" t="s">
        <v>130</v>
      </c>
      <c r="C2" s="200"/>
      <c r="D2" s="200"/>
      <c r="E2" s="200"/>
      <c r="F2" s="200"/>
    </row>
    <row r="3" spans="2:6" ht="16.8">
      <c r="B3" s="113"/>
      <c r="C3" s="114"/>
      <c r="D3" s="114"/>
      <c r="E3" s="115"/>
      <c r="F3" s="116" t="s">
        <v>111</v>
      </c>
    </row>
    <row r="4" spans="2:6" ht="16.8">
      <c r="B4" s="117" t="s">
        <v>54</v>
      </c>
      <c r="C4" s="117" t="s">
        <v>50</v>
      </c>
      <c r="D4" s="117" t="s">
        <v>112</v>
      </c>
      <c r="E4" s="118" t="s">
        <v>31</v>
      </c>
      <c r="F4" s="118" t="s">
        <v>6</v>
      </c>
    </row>
    <row r="5" spans="2:6" ht="16.8">
      <c r="B5" s="201">
        <v>1</v>
      </c>
      <c r="C5" s="204" t="s">
        <v>113</v>
      </c>
      <c r="D5" s="119" t="s">
        <v>114</v>
      </c>
      <c r="E5" s="120">
        <f>'Khấu hao'!J6</f>
        <v>8800000</v>
      </c>
      <c r="F5" s="207" t="s">
        <v>115</v>
      </c>
    </row>
    <row r="6" spans="2:6" ht="16.8">
      <c r="B6" s="202"/>
      <c r="C6" s="205"/>
      <c r="D6" s="119" t="s">
        <v>110</v>
      </c>
      <c r="E6" s="120">
        <f>'Khấu hao'!J7</f>
        <v>600000</v>
      </c>
      <c r="F6" s="208"/>
    </row>
    <row r="7" spans="2:6" ht="16.8">
      <c r="B7" s="202"/>
      <c r="C7" s="205"/>
      <c r="D7" s="119" t="s">
        <v>116</v>
      </c>
      <c r="E7" s="120">
        <f>'Khấu hao'!J8</f>
        <v>106666.66666666667</v>
      </c>
      <c r="F7" s="208"/>
    </row>
    <row r="8" spans="2:6" ht="16.8">
      <c r="B8" s="203"/>
      <c r="C8" s="206"/>
      <c r="D8" s="119" t="s">
        <v>117</v>
      </c>
      <c r="E8" s="120">
        <f>'Khấu hao'!J9</f>
        <v>245000</v>
      </c>
      <c r="F8" s="209"/>
    </row>
    <row r="9" spans="2:6" ht="33.6">
      <c r="B9" s="121">
        <v>2</v>
      </c>
      <c r="C9" s="122" t="s">
        <v>118</v>
      </c>
      <c r="D9" s="121"/>
      <c r="E9" s="120">
        <f>'CP Phần mềm'!G6</f>
        <v>130520000.00000001</v>
      </c>
      <c r="F9" s="133" t="s">
        <v>119</v>
      </c>
    </row>
    <row r="10" spans="2:6" ht="33.6">
      <c r="B10" s="121">
        <v>3</v>
      </c>
      <c r="C10" s="122" t="s">
        <v>174</v>
      </c>
      <c r="D10" s="121" t="s">
        <v>175</v>
      </c>
      <c r="E10" s="120">
        <v>30000000</v>
      </c>
      <c r="F10" s="133"/>
    </row>
    <row r="11" spans="2:6" ht="16.8">
      <c r="B11" s="124"/>
      <c r="C11" s="124" t="s">
        <v>120</v>
      </c>
      <c r="D11" s="124"/>
      <c r="E11" s="125">
        <f>SUM(E5:E10)</f>
        <v>170271666.66666669</v>
      </c>
      <c r="F11" s="123"/>
    </row>
    <row r="12" spans="2:6" ht="16.8">
      <c r="B12" s="126"/>
      <c r="C12" s="126"/>
      <c r="D12" s="126"/>
      <c r="E12" s="127"/>
      <c r="F12" s="115"/>
    </row>
  </sheetData>
  <mergeCells count="4">
    <mergeCell ref="B2:F2"/>
    <mergeCell ref="B5:B8"/>
    <mergeCell ref="C5:C8"/>
    <mergeCell ref="F5:F8"/>
  </mergeCells>
  <pageMargins left="0.78740157480314965" right="0.78740157480314965" top="1.1811023622047243" bottom="0.78740157480314965" header="0.31496062992125984" footer="0.31496062992125984"/>
  <pageSetup paperSize="9" fitToHeight="0" orientation="landscape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B2:J16"/>
  <sheetViews>
    <sheetView view="pageBreakPreview" zoomScaleNormal="115" zoomScaleSheetLayoutView="100" workbookViewId="0">
      <selection activeCell="F8" sqref="F8"/>
    </sheetView>
  </sheetViews>
  <sheetFormatPr defaultColWidth="8.88671875" defaultRowHeight="13.2"/>
  <cols>
    <col min="3" max="3" width="24.109375" customWidth="1"/>
    <col min="4" max="4" width="8.109375" bestFit="1" customWidth="1"/>
    <col min="5" max="5" width="7.44140625" bestFit="1" customWidth="1"/>
    <col min="6" max="6" width="12.6640625" bestFit="1" customWidth="1"/>
    <col min="7" max="7" width="14.88671875" customWidth="1"/>
    <col min="8" max="8" width="13.109375" customWidth="1"/>
    <col min="9" max="9" width="13" customWidth="1"/>
    <col min="10" max="10" width="21.33203125" customWidth="1"/>
  </cols>
  <sheetData>
    <row r="2" spans="2:10" ht="16.8">
      <c r="B2" s="211" t="s">
        <v>99</v>
      </c>
      <c r="C2" s="211"/>
      <c r="D2" s="211"/>
      <c r="E2" s="211"/>
      <c r="F2" s="211"/>
      <c r="G2" s="211"/>
      <c r="H2" s="211"/>
      <c r="I2" s="211"/>
      <c r="J2" s="211"/>
    </row>
    <row r="3" spans="2:10" ht="19.8">
      <c r="B3" s="212"/>
      <c r="C3" s="212"/>
      <c r="D3" s="212"/>
      <c r="E3" s="212"/>
      <c r="F3" s="212"/>
      <c r="G3" s="212"/>
      <c r="H3" s="212"/>
      <c r="I3" s="212"/>
      <c r="J3" s="212"/>
    </row>
    <row r="4" spans="2:10" ht="46.8">
      <c r="B4" s="143" t="s">
        <v>100</v>
      </c>
      <c r="C4" s="143" t="s">
        <v>101</v>
      </c>
      <c r="D4" s="143" t="s">
        <v>39</v>
      </c>
      <c r="E4" s="143" t="s">
        <v>40</v>
      </c>
      <c r="F4" s="143" t="s">
        <v>146</v>
      </c>
      <c r="G4" s="143" t="s">
        <v>148</v>
      </c>
      <c r="H4" s="143" t="s">
        <v>102</v>
      </c>
      <c r="I4" s="143" t="s">
        <v>149</v>
      </c>
      <c r="J4" s="143" t="s">
        <v>147</v>
      </c>
    </row>
    <row r="5" spans="2:10" ht="15.6">
      <c r="B5" s="144" t="s">
        <v>32</v>
      </c>
      <c r="C5" s="144" t="s">
        <v>33</v>
      </c>
      <c r="D5" s="144" t="s">
        <v>34</v>
      </c>
      <c r="E5" s="144" t="s">
        <v>35</v>
      </c>
      <c r="F5" s="144" t="s">
        <v>103</v>
      </c>
      <c r="G5" s="144" t="s">
        <v>104</v>
      </c>
      <c r="H5" s="144" t="s">
        <v>105</v>
      </c>
      <c r="I5" s="144" t="s">
        <v>106</v>
      </c>
      <c r="J5" s="144" t="s">
        <v>107</v>
      </c>
    </row>
    <row r="6" spans="2:10" ht="15.6">
      <c r="B6" s="145">
        <v>1</v>
      </c>
      <c r="C6" s="146" t="s">
        <v>114</v>
      </c>
      <c r="D6" s="145" t="s">
        <v>108</v>
      </c>
      <c r="E6" s="166">
        <v>11</v>
      </c>
      <c r="F6" s="147">
        <v>60000000</v>
      </c>
      <c r="G6" s="145">
        <v>60</v>
      </c>
      <c r="H6" s="145">
        <v>0.4</v>
      </c>
      <c r="I6" s="165">
        <v>2</v>
      </c>
      <c r="J6" s="147">
        <f>I6*H6*F6*E6/G6</f>
        <v>8800000</v>
      </c>
    </row>
    <row r="7" spans="2:10" ht="15.6">
      <c r="B7" s="145">
        <v>2</v>
      </c>
      <c r="C7" s="146" t="s">
        <v>110</v>
      </c>
      <c r="D7" s="145" t="s">
        <v>108</v>
      </c>
      <c r="E7" s="166">
        <v>1</v>
      </c>
      <c r="F7" s="147">
        <v>45000000</v>
      </c>
      <c r="G7" s="145">
        <v>60</v>
      </c>
      <c r="H7" s="145">
        <v>0.4</v>
      </c>
      <c r="I7" s="165">
        <v>2</v>
      </c>
      <c r="J7" s="147">
        <f>I7*H7*F7*E7/G7</f>
        <v>600000</v>
      </c>
    </row>
    <row r="8" spans="2:10" ht="15.6">
      <c r="B8" s="145">
        <v>4</v>
      </c>
      <c r="C8" s="146" t="s">
        <v>116</v>
      </c>
      <c r="D8" s="145" t="s">
        <v>108</v>
      </c>
      <c r="E8" s="145">
        <v>1</v>
      </c>
      <c r="F8" s="147">
        <v>8000000</v>
      </c>
      <c r="G8" s="145">
        <v>60</v>
      </c>
      <c r="H8" s="145">
        <v>0.4</v>
      </c>
      <c r="I8" s="165">
        <v>2</v>
      </c>
      <c r="J8" s="147">
        <f>I8*H8*F8*E8/G8</f>
        <v>106666.66666666667</v>
      </c>
    </row>
    <row r="9" spans="2:10" ht="15.6">
      <c r="B9" s="145">
        <v>5</v>
      </c>
      <c r="C9" s="146" t="s">
        <v>117</v>
      </c>
      <c r="D9" s="145" t="s">
        <v>108</v>
      </c>
      <c r="E9" s="145">
        <v>1</v>
      </c>
      <c r="F9" s="147">
        <v>24500000</v>
      </c>
      <c r="G9" s="145">
        <v>60</v>
      </c>
      <c r="H9" s="145">
        <v>0.3</v>
      </c>
      <c r="I9" s="165">
        <v>2</v>
      </c>
      <c r="J9" s="147">
        <f>I9*H9*F9*E9/G9</f>
        <v>245000</v>
      </c>
    </row>
    <row r="10" spans="2:10" ht="15.6">
      <c r="B10" s="213" t="s">
        <v>109</v>
      </c>
      <c r="C10" s="213"/>
      <c r="D10" s="213"/>
      <c r="E10" s="213"/>
      <c r="F10" s="213"/>
      <c r="G10" s="213"/>
      <c r="H10" s="213"/>
      <c r="I10" s="213"/>
      <c r="J10" s="148">
        <f>SUM(J6:J9)</f>
        <v>9751666.666666666</v>
      </c>
    </row>
    <row r="11" spans="2:10" ht="15.6">
      <c r="B11" s="214" t="s">
        <v>135</v>
      </c>
      <c r="C11" s="214"/>
      <c r="D11" s="214"/>
      <c r="E11" s="214"/>
      <c r="F11" s="214"/>
      <c r="G11" s="214"/>
      <c r="H11" s="214"/>
      <c r="I11" s="214"/>
      <c r="J11" s="214"/>
    </row>
    <row r="12" spans="2:10" ht="15.6">
      <c r="B12" s="210" t="s">
        <v>150</v>
      </c>
      <c r="C12" s="210"/>
      <c r="D12" s="210"/>
      <c r="E12" s="210"/>
      <c r="F12" s="210"/>
      <c r="G12" s="210"/>
      <c r="H12" s="210"/>
      <c r="I12" s="210"/>
      <c r="J12" s="210"/>
    </row>
    <row r="13" spans="2:10" ht="15.6">
      <c r="B13" s="210"/>
      <c r="C13" s="210"/>
      <c r="D13" s="210"/>
      <c r="E13" s="210"/>
      <c r="F13" s="210"/>
      <c r="G13" s="210"/>
      <c r="H13" s="210"/>
      <c r="I13" s="210"/>
      <c r="J13" s="210"/>
    </row>
    <row r="14" spans="2:10" ht="15.6">
      <c r="B14" s="210"/>
      <c r="C14" s="210"/>
      <c r="D14" s="210"/>
      <c r="E14" s="210"/>
      <c r="F14" s="210"/>
      <c r="G14" s="210"/>
      <c r="H14" s="210"/>
      <c r="I14" s="210"/>
      <c r="J14" s="210"/>
    </row>
    <row r="15" spans="2:10" ht="15.6">
      <c r="B15" s="210"/>
      <c r="C15" s="210"/>
      <c r="D15" s="210"/>
      <c r="E15" s="210"/>
      <c r="F15" s="210"/>
      <c r="G15" s="210"/>
      <c r="H15" s="210"/>
      <c r="I15" s="210"/>
      <c r="J15" s="210"/>
    </row>
    <row r="16" spans="2:10" ht="15.6">
      <c r="B16" s="210"/>
      <c r="C16" s="210"/>
      <c r="D16" s="210"/>
      <c r="E16" s="210"/>
      <c r="F16" s="210"/>
      <c r="G16" s="210"/>
      <c r="H16" s="210"/>
      <c r="I16" s="210"/>
      <c r="J16" s="210"/>
    </row>
  </sheetData>
  <mergeCells count="9">
    <mergeCell ref="B13:J13"/>
    <mergeCell ref="B14:J14"/>
    <mergeCell ref="B15:J15"/>
    <mergeCell ref="B16:J16"/>
    <mergeCell ref="B2:J2"/>
    <mergeCell ref="B3:J3"/>
    <mergeCell ref="B10:I10"/>
    <mergeCell ref="B11:J11"/>
    <mergeCell ref="B12:J12"/>
  </mergeCells>
  <pageMargins left="0.78740157480314965" right="0.78740157480314965" top="1.1811023622047243" bottom="0.78740157480314965" header="0.31496062992125984" footer="0.31496062992125984"/>
  <pageSetup paperSize="9" fitToHeight="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3"/>
  <sheetViews>
    <sheetView view="pageBreakPreview" topLeftCell="B1" zoomScaleNormal="100" zoomScaleSheetLayoutView="100" workbookViewId="0">
      <selection activeCell="B7" sqref="B7:G7"/>
    </sheetView>
  </sheetViews>
  <sheetFormatPr defaultColWidth="8.88671875" defaultRowHeight="13.2"/>
  <cols>
    <col min="3" max="3" width="41.44140625" customWidth="1"/>
    <col min="4" max="4" width="12.44140625" bestFit="1" customWidth="1"/>
    <col min="5" max="6" width="12.88671875" customWidth="1"/>
    <col min="7" max="7" width="24.44140625" customWidth="1"/>
  </cols>
  <sheetData>
    <row r="2" spans="2:8" ht="20.25" customHeight="1">
      <c r="B2" s="175" t="s">
        <v>121</v>
      </c>
      <c r="C2" s="175"/>
      <c r="D2" s="175"/>
      <c r="E2" s="175"/>
      <c r="F2" s="175"/>
      <c r="G2" s="175"/>
    </row>
    <row r="3" spans="2:8" ht="15.75" customHeight="1">
      <c r="B3" s="215"/>
      <c r="C3" s="215"/>
      <c r="D3" s="215"/>
      <c r="E3" s="215"/>
      <c r="F3" s="215"/>
      <c r="G3" s="215"/>
    </row>
    <row r="4" spans="2:8" s="101" customFormat="1" ht="31.2">
      <c r="B4" s="39" t="s">
        <v>54</v>
      </c>
      <c r="C4" s="39" t="s">
        <v>127</v>
      </c>
      <c r="D4" s="39" t="s">
        <v>122</v>
      </c>
      <c r="E4" s="39" t="s">
        <v>123</v>
      </c>
      <c r="F4" s="39" t="s">
        <v>27</v>
      </c>
      <c r="G4" s="39" t="s">
        <v>124</v>
      </c>
    </row>
    <row r="5" spans="2:8" s="101" customFormat="1" ht="78">
      <c r="B5" s="150">
        <v>1</v>
      </c>
      <c r="C5" s="153" t="s">
        <v>155</v>
      </c>
      <c r="D5" s="151">
        <f>2510*26000</f>
        <v>65260000</v>
      </c>
      <c r="E5" s="150">
        <v>12</v>
      </c>
      <c r="F5" s="149">
        <v>60</v>
      </c>
      <c r="G5" s="151">
        <f>E5*(D5/12/30)*F5</f>
        <v>130520000.00000001</v>
      </c>
    </row>
    <row r="6" spans="2:8" ht="15.6">
      <c r="B6" s="39"/>
      <c r="C6" s="44" t="s">
        <v>125</v>
      </c>
      <c r="D6" s="152"/>
      <c r="E6" s="44"/>
      <c r="F6" s="44"/>
      <c r="G6" s="152">
        <f>SUM(G5:G5)</f>
        <v>130520000.00000001</v>
      </c>
    </row>
    <row r="7" spans="2:8" ht="15.6">
      <c r="B7" s="220" t="s">
        <v>153</v>
      </c>
      <c r="C7" s="220"/>
      <c r="D7" s="220"/>
      <c r="E7" s="220"/>
      <c r="F7" s="220"/>
      <c r="G7" s="220"/>
      <c r="H7" s="135"/>
    </row>
    <row r="8" spans="2:8" ht="31.5" customHeight="1">
      <c r="B8" s="217" t="s">
        <v>158</v>
      </c>
      <c r="C8" s="217"/>
      <c r="D8" s="217"/>
      <c r="E8" s="217"/>
      <c r="F8" s="217"/>
      <c r="G8" s="217"/>
      <c r="H8" s="1"/>
    </row>
    <row r="9" spans="2:8" ht="15.6">
      <c r="B9" s="218" t="s">
        <v>152</v>
      </c>
      <c r="C9" s="219"/>
      <c r="D9" s="219"/>
      <c r="E9" s="219"/>
      <c r="F9" s="219"/>
      <c r="G9" s="219"/>
      <c r="H9" s="1"/>
    </row>
    <row r="10" spans="2:8" ht="15.6">
      <c r="B10" s="217" t="s">
        <v>166</v>
      </c>
      <c r="C10" s="217"/>
      <c r="D10" s="217"/>
      <c r="E10" s="217"/>
      <c r="F10" s="217"/>
      <c r="G10" s="217"/>
      <c r="H10" s="134"/>
    </row>
    <row r="11" spans="2:8" ht="15.6">
      <c r="B11" s="210"/>
      <c r="C11" s="210"/>
      <c r="D11" s="210"/>
      <c r="E11" s="210"/>
      <c r="F11" s="210"/>
      <c r="G11" s="210"/>
      <c r="H11" s="134"/>
    </row>
    <row r="12" spans="2:8" ht="15.6">
      <c r="B12" s="216"/>
      <c r="C12" s="210"/>
      <c r="D12" s="210"/>
      <c r="E12" s="210"/>
      <c r="F12" s="210"/>
      <c r="G12" s="210"/>
      <c r="H12" s="134"/>
    </row>
    <row r="13" spans="2:8" ht="15.6">
      <c r="B13" s="210"/>
      <c r="C13" s="210"/>
      <c r="D13" s="210"/>
      <c r="E13" s="210"/>
      <c r="F13" s="210"/>
      <c r="G13" s="210"/>
      <c r="H13" s="134"/>
    </row>
  </sheetData>
  <mergeCells count="9">
    <mergeCell ref="B2:G2"/>
    <mergeCell ref="B3:G3"/>
    <mergeCell ref="B12:G12"/>
    <mergeCell ref="B13:G13"/>
    <mergeCell ref="B8:G8"/>
    <mergeCell ref="B9:G9"/>
    <mergeCell ref="B7:G7"/>
    <mergeCell ref="B10:G10"/>
    <mergeCell ref="B11:G11"/>
  </mergeCells>
  <hyperlinks>
    <hyperlink ref="B9" r:id="rId1" xr:uid="{00000000-0004-0000-0600-000000000000}"/>
  </hyperlinks>
  <pageMargins left="0.78740157480314965" right="0.78740157480314965" top="1.1811023622047243" bottom="0.78740157480314965" header="0.31496062992125984" footer="0.31496062992125984"/>
  <pageSetup paperSize="9" orientation="landscape" horizontalDpi="4294967295" verticalDpi="4294967295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3:X35"/>
  <sheetViews>
    <sheetView view="pageBreakPreview" topLeftCell="A23" zoomScale="115" zoomScaleNormal="85" zoomScaleSheetLayoutView="115" workbookViewId="0">
      <selection activeCell="D43" sqref="D43"/>
    </sheetView>
  </sheetViews>
  <sheetFormatPr defaultColWidth="9.109375" defaultRowHeight="13.2"/>
  <cols>
    <col min="1" max="2" width="9.109375" style="73"/>
    <col min="3" max="3" width="53.6640625" style="73" customWidth="1"/>
    <col min="4" max="4" width="23.109375" style="73" customWidth="1"/>
    <col min="5" max="24" width="5.33203125" style="73" customWidth="1"/>
    <col min="25" max="16384" width="9.109375" style="73"/>
  </cols>
  <sheetData>
    <row r="3" spans="2:24" ht="27.75" customHeight="1">
      <c r="B3" s="222" t="s">
        <v>52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</row>
    <row r="4" spans="2:24" ht="33" customHeight="1">
      <c r="B4" s="221" t="s">
        <v>53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</row>
    <row r="6" spans="2:24" ht="13.8">
      <c r="B6" s="223" t="s">
        <v>54</v>
      </c>
      <c r="C6" s="223" t="s">
        <v>50</v>
      </c>
      <c r="D6" s="223" t="s">
        <v>6</v>
      </c>
      <c r="E6" s="223" t="s">
        <v>55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72"/>
      <c r="Q6" s="72"/>
      <c r="R6" s="72"/>
      <c r="S6" s="72"/>
      <c r="T6" s="72"/>
      <c r="U6" s="72"/>
      <c r="V6" s="72"/>
      <c r="W6" s="72"/>
      <c r="X6" s="72"/>
    </row>
    <row r="7" spans="2:24" ht="13.8">
      <c r="B7" s="223"/>
      <c r="C7" s="223"/>
      <c r="D7" s="223"/>
      <c r="E7" s="80" t="s">
        <v>56</v>
      </c>
      <c r="F7" s="80" t="s">
        <v>57</v>
      </c>
      <c r="G7" s="80" t="s">
        <v>58</v>
      </c>
      <c r="H7" s="80" t="s">
        <v>59</v>
      </c>
      <c r="I7" s="80" t="s">
        <v>60</v>
      </c>
      <c r="J7" s="80" t="s">
        <v>61</v>
      </c>
      <c r="K7" s="80" t="s">
        <v>62</v>
      </c>
      <c r="L7" s="80" t="s">
        <v>63</v>
      </c>
      <c r="M7" s="80" t="s">
        <v>64</v>
      </c>
      <c r="N7" s="80" t="s">
        <v>65</v>
      </c>
      <c r="O7" s="80" t="s">
        <v>66</v>
      </c>
      <c r="P7" s="80" t="s">
        <v>67</v>
      </c>
      <c r="Q7" s="80" t="s">
        <v>68</v>
      </c>
      <c r="R7" s="80" t="s">
        <v>69</v>
      </c>
      <c r="S7" s="80" t="s">
        <v>70</v>
      </c>
      <c r="T7" s="80" t="s">
        <v>71</v>
      </c>
      <c r="U7" s="80" t="s">
        <v>72</v>
      </c>
      <c r="V7" s="80" t="s">
        <v>73</v>
      </c>
      <c r="W7" s="80" t="s">
        <v>74</v>
      </c>
      <c r="X7" s="80" t="s">
        <v>75</v>
      </c>
    </row>
    <row r="8" spans="2:24" ht="30" customHeight="1">
      <c r="B8" s="74">
        <v>1</v>
      </c>
      <c r="C8" s="77" t="str">
        <f>'NC-CT-TV'!$C$8</f>
        <v>Giai đoạn chuẩn bị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spans="2:24">
      <c r="B9" s="75">
        <f>'NC-CT-TV'!B9</f>
        <v>1.1000000000000001</v>
      </c>
      <c r="C9" s="78" t="str">
        <f>'NC-CT-TV'!C9</f>
        <v>Lập kế hoạch thực hiện BIM (BEP) cho dự án</v>
      </c>
      <c r="D9" s="72"/>
      <c r="E9" s="76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</row>
    <row r="10" spans="2:24" ht="20.100000000000001" customHeight="1">
      <c r="B10" s="75" t="e">
        <f>'NC-CT-TV'!#REF!</f>
        <v>#REF!</v>
      </c>
      <c r="C10" s="78" t="e">
        <f>'NC-CT-TV'!#REF!</f>
        <v>#REF!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</row>
    <row r="11" spans="2:24" ht="20.100000000000001" customHeight="1">
      <c r="B11" s="75" t="e">
        <f>'NC-CT-TV'!#REF!</f>
        <v>#REF!</v>
      </c>
      <c r="C11" s="81" t="e">
        <f>'NC-CT-TV'!#REF!</f>
        <v>#REF!</v>
      </c>
      <c r="D11" s="72"/>
      <c r="E11" s="76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</row>
    <row r="12" spans="2:24" ht="20.100000000000001" customHeight="1">
      <c r="B12" s="75" t="e">
        <f>'NC-CT-TV'!#REF!</f>
        <v>#REF!</v>
      </c>
      <c r="C12" s="81" t="e">
        <f>'NC-CT-TV'!#REF!</f>
        <v>#REF!</v>
      </c>
      <c r="D12" s="72"/>
      <c r="F12" s="76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 spans="2:24" ht="20.100000000000001" customHeight="1">
      <c r="B13" s="75" t="e">
        <f>'NC-CT-TV'!#REF!</f>
        <v>#REF!</v>
      </c>
      <c r="C13" s="81" t="e">
        <f>'NC-CT-TV'!#REF!</f>
        <v>#REF!</v>
      </c>
      <c r="D13" s="72"/>
      <c r="E13" s="72"/>
      <c r="F13" s="72"/>
      <c r="G13" s="76"/>
      <c r="H13" s="76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</row>
    <row r="14" spans="2:24" ht="20.100000000000001" customHeight="1">
      <c r="B14" s="75" t="e">
        <f>'NC-CT-TV'!#REF!</f>
        <v>#REF!</v>
      </c>
      <c r="C14" s="81" t="e">
        <f>'NC-CT-TV'!#REF!</f>
        <v>#REF!</v>
      </c>
      <c r="D14" s="72"/>
      <c r="E14" s="72"/>
      <c r="F14" s="72"/>
      <c r="G14" s="72"/>
      <c r="H14" s="72"/>
      <c r="I14" s="76"/>
      <c r="J14" s="76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 spans="2:24" ht="27" customHeight="1">
      <c r="B15" s="75" t="e">
        <f>'NC-CT-TV'!#REF!</f>
        <v>#REF!</v>
      </c>
      <c r="C15" s="79" t="e">
        <f>'NC-CT-TV'!#REF!</f>
        <v>#REF!</v>
      </c>
      <c r="D15" s="72" t="s">
        <v>76</v>
      </c>
      <c r="E15" s="72"/>
      <c r="F15" s="72"/>
      <c r="G15" s="72"/>
      <c r="H15" s="72"/>
      <c r="I15" s="72"/>
      <c r="J15" s="72"/>
      <c r="K15" s="76"/>
      <c r="L15" s="76"/>
      <c r="M15" s="76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 spans="2:24" ht="20.100000000000001" customHeight="1">
      <c r="B16" s="74">
        <v>2</v>
      </c>
      <c r="C16" s="77" t="s">
        <v>51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 spans="2:24" ht="20.100000000000001" customHeight="1">
      <c r="B17" s="75" t="e">
        <f>#REF!</f>
        <v>#REF!</v>
      </c>
      <c r="C17" s="83" t="e">
        <f>#REF!</f>
        <v>#REF!</v>
      </c>
      <c r="D17" s="72"/>
      <c r="E17" s="72"/>
      <c r="F17" s="76"/>
      <c r="G17" s="76"/>
      <c r="H17" s="76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 spans="2:24">
      <c r="B18" s="75" t="e">
        <f>#REF!</f>
        <v>#REF!</v>
      </c>
      <c r="C18" s="83" t="e">
        <f>#REF!</f>
        <v>#REF!</v>
      </c>
      <c r="D18" s="224" t="s">
        <v>77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spans="2:24" ht="20.100000000000001" customHeight="1">
      <c r="B19" s="75" t="e">
        <f>#REF!</f>
        <v>#REF!</v>
      </c>
      <c r="C19" s="83" t="e">
        <f>#REF!</f>
        <v>#REF!</v>
      </c>
      <c r="D19" s="225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</row>
    <row r="20" spans="2:24" ht="20.100000000000001" customHeight="1">
      <c r="B20" s="75" t="e">
        <f>#REF!</f>
        <v>#REF!</v>
      </c>
      <c r="C20" s="81" t="e">
        <f>#REF!</f>
        <v>#REF!</v>
      </c>
      <c r="D20" s="225"/>
      <c r="E20" s="72"/>
      <c r="F20" s="72"/>
      <c r="G20" s="72"/>
      <c r="H20" s="72"/>
      <c r="I20" s="72"/>
      <c r="J20" s="72"/>
      <c r="K20" s="76"/>
      <c r="L20" s="76"/>
      <c r="M20" s="76"/>
      <c r="N20" s="76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 spans="2:24" ht="20.100000000000001" customHeight="1">
      <c r="B21" s="75" t="e">
        <f>#REF!</f>
        <v>#REF!</v>
      </c>
      <c r="C21" s="81" t="e">
        <f>#REF!</f>
        <v>#REF!</v>
      </c>
      <c r="D21" s="225"/>
      <c r="E21" s="72"/>
      <c r="F21" s="72"/>
      <c r="G21" s="72"/>
      <c r="H21" s="72"/>
      <c r="I21" s="72"/>
      <c r="J21" s="72"/>
      <c r="K21" s="72"/>
      <c r="L21" s="72"/>
      <c r="M21" s="72"/>
      <c r="N21" s="76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 spans="2:24" ht="20.100000000000001" customHeight="1">
      <c r="B22" s="75" t="e">
        <f>#REF!</f>
        <v>#REF!</v>
      </c>
      <c r="C22" s="81" t="e">
        <f>#REF!</f>
        <v>#REF!</v>
      </c>
      <c r="D22" s="226"/>
      <c r="E22" s="72"/>
      <c r="F22" s="72"/>
      <c r="G22" s="72"/>
      <c r="H22" s="72"/>
      <c r="I22" s="72"/>
      <c r="J22" s="72"/>
      <c r="K22" s="72"/>
      <c r="L22" s="72"/>
      <c r="M22" s="72"/>
      <c r="N22" s="76"/>
      <c r="O22" s="72"/>
      <c r="P22" s="72"/>
      <c r="Q22" s="72"/>
      <c r="R22" s="72"/>
      <c r="S22" s="72"/>
      <c r="T22" s="72"/>
      <c r="U22" s="72"/>
      <c r="V22" s="72"/>
      <c r="W22" s="72"/>
      <c r="X22" s="72"/>
    </row>
    <row r="23" spans="2:24" ht="27" customHeight="1">
      <c r="B23" s="74" t="s">
        <v>78</v>
      </c>
      <c r="C23" s="77" t="str">
        <f>'NC-CT-TV'!$C$12</f>
        <v>Áp dụng BIM trong giai đoạn thiết kế bản vẽ thi công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</row>
    <row r="24" spans="2:24" ht="27" customHeight="1">
      <c r="B24" s="75">
        <f>'NC-CT-TV'!B13</f>
        <v>2.1</v>
      </c>
      <c r="C24" s="82" t="str">
        <f>'NC-CT-TV'!C13</f>
        <v>Xây dựng mô hình BIM giai đoạn thiết kế bản vẽ thi công của dự án (LOD 300-400)</v>
      </c>
      <c r="D24" s="72"/>
      <c r="E24" s="72"/>
      <c r="F24" s="76"/>
      <c r="G24" s="76"/>
      <c r="H24" s="76"/>
      <c r="I24" s="76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spans="2:24" ht="27" customHeight="1">
      <c r="B25" s="75" t="e">
        <f>'NC-CT-TV'!#REF!</f>
        <v>#REF!</v>
      </c>
      <c r="C25" s="82" t="e">
        <f>'NC-CT-TV'!#REF!</f>
        <v>#REF!</v>
      </c>
      <c r="D25" s="72"/>
      <c r="E25" s="72"/>
      <c r="F25" s="76"/>
      <c r="G25" s="76"/>
      <c r="H25" s="76"/>
      <c r="I25" s="76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 spans="2:24" ht="27" customHeight="1">
      <c r="B26" s="75" t="e">
        <f>'NC-CT-TV'!#REF!</f>
        <v>#REF!</v>
      </c>
      <c r="C26" s="82" t="e">
        <f>'NC-CT-TV'!#REF!</f>
        <v>#REF!</v>
      </c>
      <c r="D26" s="72"/>
      <c r="E26" s="72"/>
      <c r="F26" s="72"/>
      <c r="G26" s="72"/>
      <c r="H26" s="72"/>
      <c r="I26" s="72"/>
      <c r="J26" s="76"/>
      <c r="K26" s="76"/>
      <c r="L26" s="76"/>
      <c r="M26" s="76"/>
      <c r="N26" s="76"/>
      <c r="O26" s="76"/>
      <c r="P26" s="72"/>
      <c r="Q26" s="72"/>
      <c r="R26" s="72"/>
      <c r="S26" s="72"/>
      <c r="T26" s="72"/>
      <c r="U26" s="72"/>
      <c r="V26" s="72"/>
      <c r="W26" s="72"/>
      <c r="X26" s="72"/>
    </row>
    <row r="27" spans="2:24" ht="27" customHeight="1">
      <c r="B27" s="75">
        <f>'NC-CT-TV'!B14</f>
        <v>2.2000000000000002</v>
      </c>
      <c r="C27" s="82" t="str">
        <f>'NC-CT-TV'!C14</f>
        <v>Kiểm soát mô hình BIM, báo cáo các vấn đề có trong mô hình BIM cho Ban QLDA và các đơn vị có liên quan</v>
      </c>
      <c r="D27" s="72"/>
      <c r="E27" s="72"/>
      <c r="F27" s="72"/>
      <c r="G27" s="72"/>
      <c r="H27" s="72"/>
      <c r="I27" s="72"/>
      <c r="J27" s="76"/>
      <c r="K27" s="76"/>
      <c r="L27" s="76"/>
      <c r="M27" s="76"/>
      <c r="N27" s="76"/>
      <c r="O27" s="76"/>
      <c r="P27" s="76"/>
      <c r="Q27" s="72"/>
      <c r="R27" s="72"/>
      <c r="S27" s="72"/>
      <c r="T27" s="72"/>
      <c r="U27" s="72"/>
      <c r="V27" s="72"/>
      <c r="W27" s="72"/>
      <c r="X27" s="72"/>
    </row>
    <row r="28" spans="2:24" ht="27" customHeight="1">
      <c r="B28" s="74" t="s">
        <v>79</v>
      </c>
      <c r="C28" s="77" t="e">
        <f>'NC-CT-TV'!#REF!</f>
        <v>#REF!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 spans="2:24" ht="27" customHeight="1">
      <c r="B29" s="75" t="e">
        <f>'NC-CT-TV'!#REF!</f>
        <v>#REF!</v>
      </c>
      <c r="C29" s="79" t="e">
        <f>'NC-CT-TV'!#REF!</f>
        <v>#REF!</v>
      </c>
      <c r="D29" s="72" t="s">
        <v>80</v>
      </c>
      <c r="E29" s="72"/>
      <c r="F29" s="72"/>
      <c r="G29" s="72"/>
      <c r="H29" s="72"/>
      <c r="I29" s="72"/>
      <c r="J29" s="76"/>
      <c r="K29" s="76"/>
      <c r="L29" s="76"/>
      <c r="M29" s="76"/>
      <c r="N29" s="76"/>
      <c r="O29" s="76"/>
      <c r="P29" s="76"/>
      <c r="Q29" s="72"/>
      <c r="R29" s="72"/>
      <c r="S29" s="72"/>
      <c r="T29" s="72"/>
      <c r="U29" s="72"/>
      <c r="V29" s="72"/>
      <c r="W29" s="72"/>
      <c r="X29" s="72"/>
    </row>
    <row r="30" spans="2:24" ht="27" customHeight="1">
      <c r="B30" s="84" t="e">
        <f>'NC-CT-TV'!#REF!</f>
        <v>#REF!</v>
      </c>
      <c r="C30" s="92" t="e">
        <f>'NC-CT-TV'!#REF!</f>
        <v>#REF!</v>
      </c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4"/>
      <c r="S30" s="93"/>
      <c r="T30" s="93"/>
      <c r="U30" s="93"/>
      <c r="V30" s="94"/>
      <c r="W30" s="93"/>
      <c r="X30" s="93"/>
    </row>
    <row r="31" spans="2:24" ht="27" customHeight="1">
      <c r="B31" s="85" t="s">
        <v>81</v>
      </c>
      <c r="C31" s="86" t="e">
        <f>'NC-CT-TV'!#REF!</f>
        <v>#REF!</v>
      </c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</row>
    <row r="32" spans="2:24">
      <c r="B32" s="88" t="e">
        <f>'NC-CT-TV'!#REF!</f>
        <v>#REF!</v>
      </c>
      <c r="C32" s="89" t="e">
        <f>'NC-CT-TV'!#REF!</f>
        <v>#REF!</v>
      </c>
      <c r="D32" s="227" t="s">
        <v>80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0"/>
      <c r="S32" s="87"/>
      <c r="T32" s="87"/>
      <c r="U32" s="87"/>
      <c r="V32" s="90"/>
      <c r="W32" s="87"/>
      <c r="X32" s="87"/>
    </row>
    <row r="33" spans="2:24" ht="27" customHeight="1">
      <c r="B33" s="88" t="e">
        <f>'NC-CT-TV'!#REF!</f>
        <v>#REF!</v>
      </c>
      <c r="C33" s="89" t="e">
        <f>'NC-CT-TV'!#REF!</f>
        <v>#REF!</v>
      </c>
      <c r="D33" s="22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</row>
    <row r="34" spans="2:24" ht="27" customHeight="1">
      <c r="B34" s="85">
        <v>6</v>
      </c>
      <c r="C34" s="86" t="e">
        <f>'NC-CT-TV'!#REF!</f>
        <v>#REF!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</row>
    <row r="35" spans="2:24" ht="27" customHeight="1">
      <c r="B35" s="88" t="e">
        <f>'NC-CT-TV'!#REF!</f>
        <v>#REF!</v>
      </c>
      <c r="C35" s="91" t="e">
        <f>'NC-CT-TV'!#REF!</f>
        <v>#REF!</v>
      </c>
      <c r="D35" s="88" t="s">
        <v>82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</row>
  </sheetData>
  <mergeCells count="8">
    <mergeCell ref="B4:X4"/>
    <mergeCell ref="B3:X3"/>
    <mergeCell ref="E6:O6"/>
    <mergeCell ref="D18:D22"/>
    <mergeCell ref="D32:D33"/>
    <mergeCell ref="C6:C7"/>
    <mergeCell ref="B6:B7"/>
    <mergeCell ref="D6:D7"/>
  </mergeCells>
  <pageMargins left="0.59055118110236227" right="0.59055118110236227" top="0.98425196850393704" bottom="0.78740157480314965" header="0.31496062992125984" footer="0.31496062992125984"/>
  <pageSetup paperSize="9" scale="71" fitToHeight="0" orientation="landscape" horizontalDpi="4294967295" verticalDpi="4294967295" r:id="rId1"/>
  <rowBreaks count="1" manualBreakCount="1">
    <brk id="22" min="1" max="2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H13"/>
  <sheetViews>
    <sheetView workbookViewId="0">
      <selection activeCell="K15" sqref="K15"/>
    </sheetView>
  </sheetViews>
  <sheetFormatPr defaultColWidth="8.88671875" defaultRowHeight="13.2"/>
  <cols>
    <col min="1" max="1" width="5.44140625" style="2" bestFit="1" customWidth="1"/>
    <col min="2" max="2" width="22.109375" bestFit="1" customWidth="1"/>
    <col min="3" max="3" width="33.88671875" style="4" customWidth="1"/>
    <col min="4" max="4" width="11.6640625" style="4" hidden="1" customWidth="1"/>
    <col min="5" max="5" width="13.44140625" bestFit="1" customWidth="1"/>
    <col min="6" max="6" width="13.6640625" customWidth="1"/>
    <col min="7" max="7" width="2.109375" bestFit="1" customWidth="1"/>
    <col min="8" max="8" width="9.109375" style="4" customWidth="1"/>
  </cols>
  <sheetData>
    <row r="1" spans="1:8" ht="15.6">
      <c r="B1" s="3" t="s">
        <v>83</v>
      </c>
    </row>
    <row r="2" spans="1:8" ht="15.6">
      <c r="F2" s="5"/>
    </row>
    <row r="3" spans="1:8" s="6" customFormat="1" ht="16.8">
      <c r="A3" s="228" t="s">
        <v>84</v>
      </c>
      <c r="B3" s="228"/>
      <c r="C3" s="228"/>
      <c r="D3" s="228"/>
      <c r="E3" s="228"/>
      <c r="F3" s="228"/>
      <c r="H3" s="7"/>
    </row>
    <row r="6" spans="1:8" s="8" customFormat="1" ht="30.75" customHeight="1">
      <c r="A6" s="39" t="s">
        <v>54</v>
      </c>
      <c r="B6" s="39" t="s">
        <v>85</v>
      </c>
      <c r="C6" s="40" t="s">
        <v>86</v>
      </c>
      <c r="D6" s="40" t="s">
        <v>87</v>
      </c>
      <c r="E6" s="39" t="s">
        <v>88</v>
      </c>
      <c r="F6" s="39" t="s">
        <v>6</v>
      </c>
      <c r="H6" s="9"/>
    </row>
    <row r="7" spans="1:8" s="8" customFormat="1" ht="16.5" hidden="1" customHeight="1">
      <c r="A7" s="10" t="s">
        <v>89</v>
      </c>
      <c r="B7" s="29" t="s">
        <v>90</v>
      </c>
      <c r="C7" s="11"/>
      <c r="D7" s="11"/>
      <c r="E7" s="37" t="s">
        <v>91</v>
      </c>
      <c r="F7" s="38" t="s">
        <v>6</v>
      </c>
      <c r="H7" s="9"/>
    </row>
    <row r="8" spans="1:8" s="8" customFormat="1" ht="16.5" hidden="1" customHeight="1">
      <c r="A8" s="12" t="s">
        <v>91</v>
      </c>
      <c r="B8" s="30" t="s">
        <v>6</v>
      </c>
      <c r="C8" s="13"/>
      <c r="D8" s="13"/>
      <c r="E8" s="14"/>
      <c r="F8" s="12"/>
      <c r="H8" s="9"/>
    </row>
    <row r="9" spans="1:8" ht="18.75" customHeight="1">
      <c r="A9" s="15">
        <v>1</v>
      </c>
      <c r="B9" s="31" t="s">
        <v>92</v>
      </c>
      <c r="D9" s="18"/>
      <c r="E9" s="19">
        <v>0.02</v>
      </c>
      <c r="F9" s="16"/>
      <c r="H9" s="41" t="s">
        <v>93</v>
      </c>
    </row>
    <row r="10" spans="1:8" ht="18.75" customHeight="1">
      <c r="A10" s="15">
        <f>1+A9</f>
        <v>2</v>
      </c>
      <c r="B10" s="31" t="s">
        <v>94</v>
      </c>
      <c r="C10" s="17"/>
      <c r="D10" s="18"/>
      <c r="E10" s="19">
        <v>0.18</v>
      </c>
      <c r="F10" s="16"/>
      <c r="H10" s="42" t="s">
        <v>95</v>
      </c>
    </row>
    <row r="11" spans="1:8" ht="18.75" customHeight="1">
      <c r="A11" s="15">
        <f>1+A10</f>
        <v>3</v>
      </c>
      <c r="B11" s="31" t="s">
        <v>96</v>
      </c>
      <c r="C11" s="17"/>
      <c r="D11" s="18"/>
      <c r="E11" s="19">
        <v>0.03</v>
      </c>
      <c r="F11" s="16"/>
      <c r="H11" s="42" t="s">
        <v>95</v>
      </c>
    </row>
    <row r="12" spans="1:8" ht="18.75" customHeight="1">
      <c r="A12" s="15">
        <f>1+A11</f>
        <v>4</v>
      </c>
      <c r="B12" s="32" t="s">
        <v>97</v>
      </c>
      <c r="D12" s="21"/>
      <c r="E12" s="22">
        <v>0.01</v>
      </c>
      <c r="F12" s="20"/>
      <c r="H12" s="42" t="s">
        <v>95</v>
      </c>
    </row>
    <row r="13" spans="1:8" s="27" customFormat="1" ht="18.75" customHeight="1">
      <c r="A13" s="23"/>
      <c r="B13" s="33" t="s">
        <v>98</v>
      </c>
      <c r="C13" s="25"/>
      <c r="D13" s="25"/>
      <c r="E13" s="26">
        <f>SUM(E7:E12)</f>
        <v>0.24</v>
      </c>
      <c r="F13" s="24"/>
      <c r="H13" s="28"/>
    </row>
  </sheetData>
  <mergeCells count="1">
    <mergeCell ref="A3:F3"/>
  </mergeCells>
  <phoneticPr fontId="2" type="noConversion"/>
  <printOptions horizontalCentered="1"/>
  <pageMargins left="0.81" right="0.34" top="0.98425196850393704" bottom="0.98425196850393704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7be581c-adc0-49b8-a14a-df05563b632b">
      <UserInfo>
        <DisplayName>Nguyen Quoc Bao</DisplayName>
        <AccountId>12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73D0024A7609842B896F9A7071D056A" ma:contentTypeVersion="13" ma:contentTypeDescription="Tạo tài liệu mới." ma:contentTypeScope="" ma:versionID="5cb15924ee0fe5a2039c04e4641654d0">
  <xsd:schema xmlns:xsd="http://www.w3.org/2001/XMLSchema" xmlns:xs="http://www.w3.org/2001/XMLSchema" xmlns:p="http://schemas.microsoft.com/office/2006/metadata/properties" xmlns:ns2="651f2c2b-4a65-4b3b-b878-9c5c431e0c7a" xmlns:ns3="17be581c-adc0-49b8-a14a-df05563b632b" targetNamespace="http://schemas.microsoft.com/office/2006/metadata/properties" ma:root="true" ma:fieldsID="5451ca88ca32ebe0cb64ac4934a67797" ns2:_="" ns3:_="">
    <xsd:import namespace="651f2c2b-4a65-4b3b-b878-9c5c431e0c7a"/>
    <xsd:import namespace="17be581c-adc0-49b8-a14a-df05563b6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f2c2b-4a65-4b3b-b878-9c5c431e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e581c-adc0-49b8-a14a-df05563b63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A8634-BA9C-4EB5-B6B8-999D61677D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7B7D7-9484-409C-A1D7-F36267B0E1F1}">
  <ds:schemaRefs>
    <ds:schemaRef ds:uri="651f2c2b-4a65-4b3b-b878-9c5c431e0c7a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17be581c-adc0-49b8-a14a-df05563b632b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797CDC1-C2D1-43A7-9401-2846CD443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1f2c2b-4a65-4b3b-b878-9c5c431e0c7a"/>
    <ds:schemaRef ds:uri="17be581c-adc0-49b8-a14a-df05563b63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TH-TV</vt:lpstr>
      <vt:lpstr>NC-TV</vt:lpstr>
      <vt:lpstr>NC-CT-TV</vt:lpstr>
      <vt:lpstr>Lương</vt:lpstr>
      <vt:lpstr>CPK</vt:lpstr>
      <vt:lpstr>Khấu hao</vt:lpstr>
      <vt:lpstr>CP Phần mềm</vt:lpstr>
      <vt:lpstr>Tiến độ</vt:lpstr>
      <vt:lpstr>CP xa hoi</vt:lpstr>
      <vt:lpstr>'CP Phần mềm'!Print_Area</vt:lpstr>
      <vt:lpstr>CPK!Print_Area</vt:lpstr>
      <vt:lpstr>'Khấu hao'!Print_Area</vt:lpstr>
      <vt:lpstr>Lương!Print_Area</vt:lpstr>
      <vt:lpstr>'NC-CT-TV'!Print_Area</vt:lpstr>
      <vt:lpstr>'NC-TV'!Print_Area</vt:lpstr>
      <vt:lpstr>'Tiến độ'!Print_Area</vt:lpstr>
      <vt:lpstr>'TH-TV'!Print_Area</vt:lpstr>
      <vt:lpstr>'NC-CT-TV'!Print_Titles</vt:lpstr>
      <vt:lpstr>'NC-TV'!Print_Titles</vt:lpstr>
      <vt:lpstr>'Tiến độ'!Print_Titles</vt:lpstr>
    </vt:vector>
  </TitlesOfParts>
  <Manager/>
  <Company>UIT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BIM ICE</dc:creator>
  <cp:keywords/>
  <dc:description/>
  <cp:lastModifiedBy>Nguyen Quoc Anh</cp:lastModifiedBy>
  <cp:revision/>
  <cp:lastPrinted>2024-06-08T06:33:10Z</cp:lastPrinted>
  <dcterms:created xsi:type="dcterms:W3CDTF">2010-01-28T23:30:56Z</dcterms:created>
  <dcterms:modified xsi:type="dcterms:W3CDTF">2026-04-22T03:41:42Z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0x010100673D0024A7609842B896F9A7071D056A</vt:lpwstr>
  </property>
</Properties>
</file>