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ocAnh\2026\01.Project\cic-vicem-erp\Quy trình QLDA\"/>
    </mc:Choice>
  </mc:AlternateContent>
  <bookViews>
    <workbookView xWindow="0" yWindow="0" windowWidth="16380" windowHeight="8190" tabRatio="500"/>
  </bookViews>
  <sheets>
    <sheet name="TH-TV" sheetId="1" r:id="rId1"/>
    <sheet name="NC-TV" sheetId="2" r:id="rId2"/>
    <sheet name="NC-CT-TV" sheetId="3" r:id="rId3"/>
    <sheet name="Lương" sheetId="4" r:id="rId4"/>
    <sheet name="CPK" sheetId="5" r:id="rId5"/>
    <sheet name="Khấu hao" sheetId="6" r:id="rId6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6" l="1"/>
  <c r="J7" i="6"/>
  <c r="J6" i="6"/>
  <c r="J9" i="6" s="1"/>
  <c r="E7" i="5" s="1"/>
  <c r="E8" i="5" s="1"/>
  <c r="E9" i="5" s="1"/>
  <c r="F8" i="1" s="1"/>
  <c r="G10" i="4"/>
  <c r="E10" i="2" s="1"/>
  <c r="G9" i="4"/>
  <c r="E9" i="2" s="1"/>
  <c r="G8" i="4"/>
  <c r="G7" i="4"/>
  <c r="E7" i="2" s="1"/>
  <c r="M13" i="3"/>
  <c r="J13" i="3"/>
  <c r="G13" i="3"/>
  <c r="P12" i="3"/>
  <c r="M12" i="3"/>
  <c r="J12" i="3"/>
  <c r="G12" i="3"/>
  <c r="P11" i="3"/>
  <c r="M11" i="3"/>
  <c r="J11" i="3"/>
  <c r="G11" i="3"/>
  <c r="M10" i="3"/>
  <c r="J10" i="3"/>
  <c r="G10" i="3"/>
  <c r="P9" i="3"/>
  <c r="N21" i="3" s="1"/>
  <c r="D10" i="2" s="1"/>
  <c r="F10" i="2" s="1"/>
  <c r="J9" i="3"/>
  <c r="G9" i="3"/>
  <c r="P8" i="3"/>
  <c r="M8" i="3"/>
  <c r="K21" i="3" s="1"/>
  <c r="D9" i="2" s="1"/>
  <c r="F9" i="2" s="1"/>
  <c r="J8" i="3"/>
  <c r="H21" i="3" s="1"/>
  <c r="D8" i="2" s="1"/>
  <c r="F8" i="2" s="1"/>
  <c r="G8" i="3"/>
  <c r="E21" i="3" s="1"/>
  <c r="D7" i="2" s="1"/>
  <c r="F7" i="2" s="1"/>
  <c r="N6" i="3"/>
  <c r="K6" i="3"/>
  <c r="H6" i="3"/>
  <c r="E6" i="3"/>
  <c r="E8" i="2"/>
  <c r="F11" i="2" l="1"/>
  <c r="F6" i="1" s="1"/>
  <c r="F7" i="1" l="1"/>
  <c r="F9" i="1" l="1"/>
  <c r="F10" i="1" l="1"/>
  <c r="F11" i="1" s="1"/>
  <c r="F12" i="1" s="1"/>
</calcChain>
</file>

<file path=xl/sharedStrings.xml><?xml version="1.0" encoding="utf-8"?>
<sst xmlns="http://schemas.openxmlformats.org/spreadsheetml/2006/main" count="155" uniqueCount="117">
  <si>
    <t>TỔNG HỢP DỰ TOÁN CHI PHÍ TƯ VẤN</t>
  </si>
  <si>
    <t>HẠNG MỤC 3: XÂY DỰNG PHẦN MỀM QUẢN LÝ DỰ ÁN
VICEM HÀ TIÊN — CIC TƯ VẤN</t>
  </si>
  <si>
    <t>Đơn vị: Việt Nam Đồng</t>
  </si>
  <si>
    <t>TT</t>
  </si>
  <si>
    <t>Thành phần chi phí</t>
  </si>
  <si>
    <t>Diễn giải</t>
  </si>
  <si>
    <t>Ký hiệu</t>
  </si>
  <si>
    <t>Giá trị</t>
  </si>
  <si>
    <t>Ghi chú</t>
  </si>
  <si>
    <t>Chi phí nhân công</t>
  </si>
  <si>
    <t>Ccg</t>
  </si>
  <si>
    <t>Bảng 1</t>
  </si>
  <si>
    <t>Chi phí quản lý</t>
  </si>
  <si>
    <t>55% × Ccg</t>
  </si>
  <si>
    <t>Cql</t>
  </si>
  <si>
    <t>Chi phí khác</t>
  </si>
  <si>
    <t>Ck</t>
  </si>
  <si>
    <t>Bảng số 4</t>
  </si>
  <si>
    <t>Thu nhập chịu thuế tính trước</t>
  </si>
  <si>
    <t>6% × (Ccg+Cql)</t>
  </si>
  <si>
    <t>TN</t>
  </si>
  <si>
    <t>Thuế giá trị gia tăng</t>
  </si>
  <si>
    <t>8% × (Ccg+Cql+TN+Ck)</t>
  </si>
  <si>
    <t>VAT</t>
  </si>
  <si>
    <t>Tổng giá trị sau thuế</t>
  </si>
  <si>
    <t>Ccg+Cql+TN+Ck+VAT</t>
  </si>
  <si>
    <t>Gst</t>
  </si>
  <si>
    <t>Làm tròn</t>
  </si>
  <si>
    <t>*Ghi chú:</t>
  </si>
  <si>
    <t>1. Chi phí nhân công: tham khảo mức tiền lương chuyên gia theo Thông tư 004/2025/TT-BNV ngày 07/5/2025 của Bộ Nội vụ.</t>
  </si>
  <si>
    <t>2. Chi phí quản lý: căn cứ Thông tư 11/2021/TT-BXD ngày 31/8/2021 của Bộ Xây dựng.</t>
  </si>
  <si>
    <t>3. Thu nhập chịu thuế tính trước và thuế GTGT: căn cứ Thông tư 11/2021/TT-BXD ngày 31/8/2021 của Bộ Xây dựng.</t>
  </si>
  <si>
    <t>BẢNG 1: CHI PHÍ NHÂN CÔNG</t>
  </si>
  <si>
    <t>Đơn vị: Việt Nam đồng</t>
  </si>
  <si>
    <t>Phần việc thực hiện</t>
  </si>
  <si>
    <t>Số công</t>
  </si>
  <si>
    <t>Đơn giá tiền lương</t>
  </si>
  <si>
    <t>Thành tiền</t>
  </si>
  <si>
    <t>(1)</t>
  </si>
  <si>
    <t>(2)</t>
  </si>
  <si>
    <t>(3)</t>
  </si>
  <si>
    <t>(4)</t>
  </si>
  <si>
    <t>(5) = (3) × (4)</t>
  </si>
  <si>
    <t>Project Manager / Kiến trúc sư hệ thống
(Trưởng nhóm — Nhóm I)</t>
  </si>
  <si>
    <t>BA &amp; Lập trình viên cao cấp (BA/Senior Dev)
(Nhóm II)</t>
  </si>
  <si>
    <t>Lập trình viên và Kiểm thử viên (Developer/Tester)
(Nhóm IV)</t>
  </si>
  <si>
    <t>Thiết kế viên UI/UX (Designer)
(Nhóm IV)</t>
  </si>
  <si>
    <t>Tổng chi phí nhân công
Total of labor costs</t>
  </si>
  <si>
    <t>1. Đơn giá tiền lương xem Bảng 3: Bảng phân tích chi tiết tiền lương.</t>
  </si>
  <si>
    <t>2. Chi phí nhân công: tham khảo mức tiền lương theo Thông tư 004/2025/TT-BNV ngày 07/5/2025 của Bộ Nội vụ.</t>
  </si>
  <si>
    <t>BẢNG 2: CHI PHÍ NHÂN CÔNG CHI TIẾT</t>
  </si>
  <si>
    <t>Hạng mục công việc</t>
  </si>
  <si>
    <t>Sản phẩm / Kết quả bàn giao</t>
  </si>
  <si>
    <t>Thời gian công thực hiện</t>
  </si>
  <si>
    <t>Số người</t>
  </si>
  <si>
    <t>Số ngày</t>
  </si>
  <si>
    <t>3.1</t>
  </si>
  <si>
    <t>Phân tích yêu cầu chi tiết và thiết kế kiến trúc hệ thống:
Phân tích BRD từ HM1; Thiết kế kiến trúc tổng thể (N-tier, API-first);
Thiết kế CSDL; Xác định tech stack, chuẩn bảo mật và chữ ký số</t>
  </si>
  <si>
    <t>Tài liệu Thiết kế Hệ thống (SDD);
Sơ đồ kiến trúc và ERD;
Tech stack &amp; security plan</t>
  </si>
  <si>
    <t>7 ngày làm việc</t>
  </si>
  <si>
    <t>3.2</t>
  </si>
  <si>
    <t>Thiết kế UI/UX — Wireframe và Prototype tương tác:
Thiết kế màn hình 6 nhóm chức năng;
Prototype click-through; Rà soát và chỉnh sửa theo góp ý Vicem</t>
  </si>
  <si>
    <t>Bộ Wireframe &amp; Prototype tương tác
(Figma hoặc tương đương);
Design system cơ bản</t>
  </si>
  <si>
    <t>3.3</t>
  </si>
  <si>
    <t>Phát triển Backend &amp; API (5 nhóm chức năng):
Nhóm 1: Quản lý danh mục dự án;
Nhóm 2: Luồng phê duyệt;
Nhóm 3: Quản lý hợp đồng và thanh toán;
Nhóm 4: Chất lượng và nghiệm thu;
Nhóm 5: Báo cáo và phân tích</t>
  </si>
  <si>
    <t>API Backend hoàn chỉnh (RESTful);
Unit test coverage ≥ 80%</t>
  </si>
  <si>
    <t>15 ngày LV không liên tục</t>
  </si>
  <si>
    <t>3.4</t>
  </si>
  <si>
    <t>Phát triển Frontend (Giao diện người dùng — 5 nhóm chức năng):
Giao diện web responsive cho tất cả màn hình;
Dashboard tổng quan điều hành Ban Lãnh đạo;
Giao diện mobile-friendly</t>
  </si>
  <si>
    <t>Ứng dụng web hoàn chỉnh;
Dashboard điều hành;
Giao diện mobile-friendly</t>
  </si>
  <si>
    <t>3.5</t>
  </si>
  <si>
    <t>Kiểm thử toàn diện — Integration Test, System Test và UAT:
Kiểm thử tích hợp các module;
Kiểm thử hệ thống theo kịch bản thực tế;
UAT cùng cán bộ Vicem Hà Tiên; Sửa lỗi sau UAT</t>
  </si>
  <si>
    <t>Báo cáo kiểm thử (Test Report);
Danh sách lỗi và trạng thái xử lý;
Biên bản UAT có chữ ký</t>
  </si>
  <si>
    <t>3.6</t>
  </si>
  <si>
    <t>Triển khai (Deploy), đào tạo vận hành và bàn giao:
Deploy lên môi trường production;
Đào tạo người dùng theo nhóm đối tượng;
Bàn giao tài liệu kỹ thuật; Hỗ trợ 30 ngày sau go-live</t>
  </si>
  <si>
    <t>Hệ thống vận hành chính thức;
Tài liệu hướng dẫn sử dụng;
Kế hoạch hỗ trợ sau go-live</t>
  </si>
  <si>
    <t>3 ngày làm việc</t>
  </si>
  <si>
    <t>Tổng cộng</t>
  </si>
  <si>
    <t>BẢNG 3: BẢNG PHÂN TÍCH CHI TIẾT CHI PHÍ LƯƠNG</t>
  </si>
  <si>
    <t>Chức danh chuyên gia</t>
  </si>
  <si>
    <t>Số lượng</t>
  </si>
  <si>
    <t>Nhóm chuyên gia</t>
  </si>
  <si>
    <t>Lương tháng (đồng)</t>
  </si>
  <si>
    <t>Lương ngày (đồng)</t>
  </si>
  <si>
    <t>Kỹ sư cao cấp, chủ nhiệm dự án</t>
  </si>
  <si>
    <t>Kỹ sư chính, chủ nhiệm bộ môn</t>
  </si>
  <si>
    <t>Kỹ sư</t>
  </si>
  <si>
    <t>*Ghi chú: Mức lương tham khảo theo Thông tư 004/2025/TT-BNV ngày 07/5/2025 của Bộ Nội vụ về chế độ tiền lương chuyên gia tư vấn.</t>
  </si>
  <si>
    <t>BẢNG 4: CHI PHÍ KHÁC</t>
  </si>
  <si>
    <t>Đơn vị tính: đồng</t>
  </si>
  <si>
    <t>STT</t>
  </si>
  <si>
    <t>Nội dung</t>
  </si>
  <si>
    <t>Diễn giải cách tính</t>
  </si>
  <si>
    <t>Thuê dịch vụ server / điện toán đám mây
(Môi trường Dev, Staging, Production)</t>
  </si>
  <si>
    <t>Ước tính: 3 môi trường × 1 tháng triển khai
(AWS/Azure/GCP — Tạm tính)</t>
  </si>
  <si>
    <t>Tham khảo giá dịch vụ cloud</t>
  </si>
  <si>
    <t>Chi phí đi lại / công tác phí
(Demo, UAT và bàn giao tại Vicem Hà Tiên)</t>
  </si>
  <si>
    <t>Vé máy bay khứ hồi + phụ cấp công tác
× 2 lần đi (Demo + UAT) — Tạm tính</t>
  </si>
  <si>
    <t>Tham khảo giá thị trường</t>
  </si>
  <si>
    <t>Chi phí khấu hao thiết bị văn phòng
(Máy tính xách tay, máy in của đội phát triển)</t>
  </si>
  <si>
    <t>Chi tiết tại Bảng 5</t>
  </si>
  <si>
    <t>Tổng cộng:</t>
  </si>
  <si>
    <t>BẢNG 5: CHI TIẾT KHẤU HAO MÁY MÓC, THIẾT BỊ</t>
  </si>
  <si>
    <t>Stt</t>
  </si>
  <si>
    <t>Danh mục thiết bị</t>
  </si>
  <si>
    <t>Đơn vị</t>
  </si>
  <si>
    <t>Đơn giá TB (Đồng)</t>
  </si>
  <si>
    <t>Thời gian KH (tháng)</t>
  </si>
  <si>
    <t>Hệ số SD</t>
  </si>
  <si>
    <t>KH vào dự án (tháng)</t>
  </si>
  <si>
    <t>Chi phí KH (Đồng)</t>
  </si>
  <si>
    <t>Máy tính xách tay</t>
  </si>
  <si>
    <t>Cái</t>
  </si>
  <si>
    <t>Màn hình phụ</t>
  </si>
  <si>
    <t>Máy in</t>
  </si>
  <si>
    <t>Tổng</t>
  </si>
  <si>
    <t>Cách tính khấu hao theo Thông tư 45/2013/TT-BTC ngày 25/4/2013 của Bộ Tài chính.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</si>
</sst>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(#,##0\);\-"/>
    <numFmt numFmtId="165" formatCode="#,##0.##;\(#,##0.##\);\-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Times New Roman"/>
      <charset val="1"/>
    </font>
    <font>
      <b/>
      <sz val="12"/>
      <color rgb="FF000000"/>
      <name val="Times New Roman"/>
      <charset val="1"/>
    </font>
    <font>
      <i/>
      <sz val="11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3"/>
      <color rgb="FF000000"/>
      <name val="Times New Roman"/>
      <charset val="1"/>
    </font>
    <font>
      <b/>
      <sz val="9"/>
      <color rgb="FF000000"/>
      <name val="Times New Roman"/>
      <charset val="1"/>
    </font>
    <font>
      <sz val="10"/>
      <color rgb="FF000000"/>
      <name val="Times New Roman"/>
      <charset val="1"/>
    </font>
    <font>
      <sz val="12"/>
      <color rgb="FF0000FF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8DB4E2"/>
        <bgColor rgb="FF99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4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4" fontId="10" fillId="3" borderId="1" xfId="0" applyNumberFormat="1" applyFont="1" applyFill="1" applyBorder="1" applyAlignment="1">
      <alignment horizontal="right" vertical="center" wrapText="1"/>
    </xf>
    <xf numFmtId="165" fontId="4" fillId="0" borderId="1" xfId="0" applyNumberFormat="1" applyFont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"/>
  <sheetViews>
    <sheetView tabSelected="1" zoomScaleNormal="100" workbookViewId="0">
      <selection activeCell="F6" sqref="F6:F12"/>
    </sheetView>
  </sheetViews>
  <sheetFormatPr defaultColWidth="8.7109375" defaultRowHeight="15" x14ac:dyDescent="0.25"/>
  <cols>
    <col min="1" max="1" width="3" customWidth="1"/>
    <col min="2" max="2" width="6" customWidth="1"/>
    <col min="3" max="3" width="34" customWidth="1"/>
    <col min="4" max="4" width="32" customWidth="1"/>
    <col min="5" max="5" width="10" customWidth="1"/>
    <col min="6" max="6" width="22" customWidth="1"/>
    <col min="7" max="7" width="15" customWidth="1"/>
  </cols>
  <sheetData>
    <row r="1" spans="2:7" ht="3.75" customHeight="1" x14ac:dyDescent="0.25"/>
    <row r="2" spans="2:7" ht="18" customHeight="1" x14ac:dyDescent="0.25">
      <c r="B2" s="11" t="s">
        <v>0</v>
      </c>
      <c r="C2" s="11"/>
      <c r="D2" s="11"/>
      <c r="E2" s="11"/>
      <c r="F2" s="11"/>
      <c r="G2" s="11"/>
    </row>
    <row r="3" spans="2:7" ht="36" customHeight="1" x14ac:dyDescent="0.25">
      <c r="B3" s="10" t="s">
        <v>1</v>
      </c>
      <c r="C3" s="10"/>
      <c r="D3" s="10"/>
      <c r="E3" s="10"/>
      <c r="F3" s="10"/>
      <c r="G3" s="10"/>
    </row>
    <row r="4" spans="2:7" ht="15.75" customHeight="1" x14ac:dyDescent="0.25">
      <c r="F4" s="9" t="s">
        <v>2</v>
      </c>
      <c r="G4" s="9"/>
    </row>
    <row r="5" spans="2:7" ht="19.5" customHeight="1" x14ac:dyDescent="0.25"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</row>
    <row r="6" spans="2:7" ht="18" customHeight="1" x14ac:dyDescent="0.25">
      <c r="B6" s="13">
        <v>1</v>
      </c>
      <c r="C6" s="14" t="s">
        <v>9</v>
      </c>
      <c r="D6" s="13"/>
      <c r="E6" s="13" t="s">
        <v>10</v>
      </c>
      <c r="F6" s="20">
        <f>'NC-TV'!F11</f>
        <v>400000000</v>
      </c>
      <c r="G6" s="13" t="s">
        <v>11</v>
      </c>
    </row>
    <row r="7" spans="2:7" ht="18" customHeight="1" x14ac:dyDescent="0.25">
      <c r="B7" s="13">
        <v>2</v>
      </c>
      <c r="C7" s="14" t="s">
        <v>12</v>
      </c>
      <c r="D7" s="15" t="s">
        <v>13</v>
      </c>
      <c r="E7" s="13" t="s">
        <v>14</v>
      </c>
      <c r="F7" s="20">
        <f>0.55*F6</f>
        <v>220000000.00000003</v>
      </c>
      <c r="G7" s="13"/>
    </row>
    <row r="8" spans="2:7" ht="18" customHeight="1" x14ac:dyDescent="0.25">
      <c r="B8" s="13">
        <v>3</v>
      </c>
      <c r="C8" s="14" t="s">
        <v>15</v>
      </c>
      <c r="D8" s="13"/>
      <c r="E8" s="13" t="s">
        <v>16</v>
      </c>
      <c r="F8" s="20">
        <f>CPK!E9</f>
        <v>40333333.333333336</v>
      </c>
      <c r="G8" s="13" t="s">
        <v>17</v>
      </c>
    </row>
    <row r="9" spans="2:7" ht="18" customHeight="1" x14ac:dyDescent="0.25">
      <c r="B9" s="13">
        <v>4</v>
      </c>
      <c r="C9" s="14" t="s">
        <v>18</v>
      </c>
      <c r="D9" s="15" t="s">
        <v>19</v>
      </c>
      <c r="E9" s="13" t="s">
        <v>20</v>
      </c>
      <c r="F9" s="20">
        <f>6%*(F6+F7)</f>
        <v>37200000</v>
      </c>
      <c r="G9" s="13"/>
    </row>
    <row r="10" spans="2:7" ht="18" customHeight="1" x14ac:dyDescent="0.25">
      <c r="B10" s="13">
        <v>5</v>
      </c>
      <c r="C10" s="14" t="s">
        <v>21</v>
      </c>
      <c r="D10" s="15" t="s">
        <v>22</v>
      </c>
      <c r="E10" s="13" t="s">
        <v>23</v>
      </c>
      <c r="F10" s="20">
        <f>(F6+F7+F8+F9)*8%</f>
        <v>55802666.666666672</v>
      </c>
      <c r="G10" s="13"/>
    </row>
    <row r="11" spans="2:7" ht="18" customHeight="1" x14ac:dyDescent="0.25">
      <c r="B11" s="14"/>
      <c r="C11" s="16" t="s">
        <v>24</v>
      </c>
      <c r="D11" s="13" t="s">
        <v>25</v>
      </c>
      <c r="E11" s="13" t="s">
        <v>26</v>
      </c>
      <c r="F11" s="26">
        <f>SUM(F6:F10)</f>
        <v>753336000</v>
      </c>
      <c r="G11" s="14"/>
    </row>
    <row r="12" spans="2:7" ht="18" customHeight="1" x14ac:dyDescent="0.25">
      <c r="B12" s="17"/>
      <c r="C12" s="18" t="s">
        <v>27</v>
      </c>
      <c r="D12" s="17"/>
      <c r="E12" s="17"/>
      <c r="F12" s="26">
        <f>ROUNDDOWN(F11,-5)</f>
        <v>753300000</v>
      </c>
      <c r="G12" s="17"/>
    </row>
    <row r="13" spans="2:7" ht="13.5" customHeight="1" x14ac:dyDescent="0.25">
      <c r="B13" s="8" t="s">
        <v>28</v>
      </c>
      <c r="C13" s="8"/>
      <c r="D13" s="8"/>
      <c r="E13" s="8"/>
      <c r="F13" s="8"/>
      <c r="G13" s="8"/>
    </row>
    <row r="14" spans="2:7" ht="27.75" customHeight="1" x14ac:dyDescent="0.25">
      <c r="B14" s="7" t="s">
        <v>29</v>
      </c>
      <c r="C14" s="7"/>
      <c r="D14" s="7"/>
      <c r="E14" s="7"/>
      <c r="F14" s="7"/>
      <c r="G14" s="7"/>
    </row>
    <row r="15" spans="2:7" ht="19.5" customHeight="1" x14ac:dyDescent="0.25">
      <c r="B15" s="7" t="s">
        <v>30</v>
      </c>
      <c r="C15" s="7"/>
      <c r="D15" s="7"/>
      <c r="E15" s="7"/>
      <c r="F15" s="7"/>
      <c r="G15" s="7"/>
    </row>
    <row r="16" spans="2:7" ht="27.75" customHeight="1" x14ac:dyDescent="0.25">
      <c r="B16" s="7" t="s">
        <v>31</v>
      </c>
      <c r="C16" s="7"/>
      <c r="D16" s="7"/>
      <c r="E16" s="7"/>
      <c r="F16" s="7"/>
      <c r="G16" s="7"/>
    </row>
  </sheetData>
  <mergeCells count="7">
    <mergeCell ref="B15:G15"/>
    <mergeCell ref="B16:G16"/>
    <mergeCell ref="B2:G2"/>
    <mergeCell ref="B3:G3"/>
    <mergeCell ref="F4:G4"/>
    <mergeCell ref="B13:G13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zoomScaleNormal="100" workbookViewId="0">
      <selection activeCell="F7" sqref="F7:F11"/>
    </sheetView>
  </sheetViews>
  <sheetFormatPr defaultColWidth="8.7109375" defaultRowHeight="15" x14ac:dyDescent="0.25"/>
  <cols>
    <col min="1" max="1" width="3" customWidth="1"/>
    <col min="2" max="2" width="6" customWidth="1"/>
    <col min="3" max="3" width="58" customWidth="1"/>
    <col min="4" max="4" width="12" customWidth="1"/>
    <col min="5" max="6" width="22" customWidth="1"/>
  </cols>
  <sheetData>
    <row r="1" spans="2:6" ht="3.75" customHeight="1" x14ac:dyDescent="0.25"/>
    <row r="2" spans="2:6" ht="18" customHeight="1" x14ac:dyDescent="0.25">
      <c r="B2" s="6" t="s">
        <v>32</v>
      </c>
      <c r="C2" s="6"/>
      <c r="D2" s="6"/>
      <c r="E2" s="6"/>
      <c r="F2" s="6"/>
    </row>
    <row r="3" spans="2:6" ht="36" customHeight="1" x14ac:dyDescent="0.25">
      <c r="B3" s="10" t="s">
        <v>1</v>
      </c>
      <c r="C3" s="10"/>
      <c r="D3" s="10"/>
      <c r="E3" s="10"/>
      <c r="F3" s="10"/>
    </row>
    <row r="4" spans="2:6" ht="15.75" customHeight="1" x14ac:dyDescent="0.25">
      <c r="E4" s="9" t="s">
        <v>33</v>
      </c>
      <c r="F4" s="9"/>
    </row>
    <row r="5" spans="2:6" ht="25.5" customHeight="1" x14ac:dyDescent="0.25">
      <c r="B5" s="12" t="s">
        <v>3</v>
      </c>
      <c r="C5" s="12" t="s">
        <v>34</v>
      </c>
      <c r="D5" s="12" t="s">
        <v>35</v>
      </c>
      <c r="E5" s="12" t="s">
        <v>36</v>
      </c>
      <c r="F5" s="12" t="s">
        <v>37</v>
      </c>
    </row>
    <row r="6" spans="2:6" ht="19.5" customHeight="1" x14ac:dyDescent="0.25">
      <c r="B6" s="19" t="s">
        <v>38</v>
      </c>
      <c r="C6" s="19" t="s">
        <v>39</v>
      </c>
      <c r="D6" s="19" t="s">
        <v>40</v>
      </c>
      <c r="E6" s="19" t="s">
        <v>41</v>
      </c>
      <c r="F6" s="19" t="s">
        <v>42</v>
      </c>
    </row>
    <row r="7" spans="2:6" ht="39.75" customHeight="1" x14ac:dyDescent="0.25">
      <c r="B7" s="13">
        <v>1</v>
      </c>
      <c r="C7" s="14" t="s">
        <v>43</v>
      </c>
      <c r="D7" s="13">
        <f>'NC-CT-TV'!E21</f>
        <v>54</v>
      </c>
      <c r="E7" s="20">
        <f>Lương!G7</f>
        <v>2307692.3076923075</v>
      </c>
      <c r="F7" s="20">
        <f>D7*E7</f>
        <v>124615384.61538461</v>
      </c>
    </row>
    <row r="8" spans="2:6" ht="39.75" customHeight="1" x14ac:dyDescent="0.25">
      <c r="B8" s="13">
        <v>2</v>
      </c>
      <c r="C8" s="14" t="s">
        <v>44</v>
      </c>
      <c r="D8" s="13">
        <f>'NC-CT-TV'!H21</f>
        <v>94</v>
      </c>
      <c r="E8" s="20">
        <f>Lương!G8</f>
        <v>1538461.5384615385</v>
      </c>
      <c r="F8" s="20">
        <f>D8*E8</f>
        <v>144615384.61538461</v>
      </c>
    </row>
    <row r="9" spans="2:6" ht="39.75" customHeight="1" x14ac:dyDescent="0.25">
      <c r="B9" s="13">
        <v>3</v>
      </c>
      <c r="C9" s="14" t="s">
        <v>45</v>
      </c>
      <c r="D9" s="13">
        <f>'NC-CT-TV'!K21</f>
        <v>147</v>
      </c>
      <c r="E9" s="20">
        <f>Lương!G9</f>
        <v>769230.76923076925</v>
      </c>
      <c r="F9" s="20">
        <f>D9*E9</f>
        <v>113076923.07692307</v>
      </c>
    </row>
    <row r="10" spans="2:6" ht="39.75" customHeight="1" x14ac:dyDescent="0.25">
      <c r="B10" s="13">
        <v>4</v>
      </c>
      <c r="C10" s="14" t="s">
        <v>46</v>
      </c>
      <c r="D10" s="13">
        <f>'NC-CT-TV'!N21</f>
        <v>23</v>
      </c>
      <c r="E10" s="20">
        <f>Lương!G10</f>
        <v>769230.76923076925</v>
      </c>
      <c r="F10" s="20">
        <f>D10*E10</f>
        <v>17692307.692307692</v>
      </c>
    </row>
    <row r="11" spans="2:6" ht="36" customHeight="1" x14ac:dyDescent="0.25">
      <c r="B11" s="5" t="s">
        <v>47</v>
      </c>
      <c r="C11" s="5"/>
      <c r="D11" s="5"/>
      <c r="E11" s="17"/>
      <c r="F11" s="26">
        <f>SUM(F7:F10)</f>
        <v>400000000</v>
      </c>
    </row>
    <row r="12" spans="2:6" ht="13.5" customHeight="1" x14ac:dyDescent="0.25">
      <c r="B12" s="8" t="s">
        <v>28</v>
      </c>
      <c r="C12" s="8"/>
      <c r="D12" s="8"/>
      <c r="E12" s="8"/>
      <c r="F12" s="8"/>
    </row>
    <row r="13" spans="2:6" ht="30" customHeight="1" x14ac:dyDescent="0.25">
      <c r="B13" s="7" t="s">
        <v>48</v>
      </c>
      <c r="C13" s="7"/>
      <c r="D13" s="7"/>
      <c r="E13" s="7"/>
      <c r="F13" s="7"/>
    </row>
    <row r="14" spans="2:6" ht="30" customHeight="1" x14ac:dyDescent="0.25">
      <c r="B14" s="7" t="s">
        <v>49</v>
      </c>
      <c r="C14" s="7"/>
      <c r="D14" s="7"/>
      <c r="E14" s="7"/>
      <c r="F14" s="7"/>
    </row>
  </sheetData>
  <mergeCells count="7">
    <mergeCell ref="B13:F13"/>
    <mergeCell ref="B14:F14"/>
    <mergeCell ref="B2:F2"/>
    <mergeCell ref="B3:F3"/>
    <mergeCell ref="E4:F4"/>
    <mergeCell ref="B11:D11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1"/>
  <sheetViews>
    <sheetView zoomScaleNormal="100" workbookViewId="0"/>
  </sheetViews>
  <sheetFormatPr defaultColWidth="8.7109375" defaultRowHeight="15" x14ac:dyDescent="0.25"/>
  <cols>
    <col min="1" max="1" width="3" customWidth="1"/>
    <col min="2" max="2" width="7" customWidth="1"/>
    <col min="3" max="3" width="52" customWidth="1"/>
    <col min="4" max="4" width="36" customWidth="1"/>
    <col min="5" max="16" width="8" customWidth="1"/>
    <col min="17" max="17" width="26" customWidth="1"/>
  </cols>
  <sheetData>
    <row r="1" spans="2:17" ht="3.75" customHeight="1" x14ac:dyDescent="0.25"/>
    <row r="2" spans="2:17" ht="18" customHeight="1" x14ac:dyDescent="0.25">
      <c r="B2" s="6" t="s">
        <v>50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36" customHeight="1" x14ac:dyDescent="0.25"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7" ht="3.75" customHeight="1" x14ac:dyDescent="0.25"/>
    <row r="5" spans="2:17" ht="18" customHeight="1" x14ac:dyDescent="0.25">
      <c r="B5" s="4" t="s">
        <v>3</v>
      </c>
      <c r="C5" s="4" t="s">
        <v>51</v>
      </c>
      <c r="D5" s="4" t="s">
        <v>52</v>
      </c>
      <c r="E5" s="4" t="s">
        <v>53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8</v>
      </c>
    </row>
    <row r="6" spans="2:17" ht="60" customHeight="1" x14ac:dyDescent="0.25">
      <c r="B6" s="4"/>
      <c r="C6" s="4"/>
      <c r="D6" s="4"/>
      <c r="E6" s="3" t="str">
        <f>Lương!C7</f>
        <v>Project Manager / Kiến trúc sư hệ thống
(Trưởng nhóm — Nhóm I)</v>
      </c>
      <c r="F6" s="3"/>
      <c r="G6" s="3"/>
      <c r="H6" s="3" t="str">
        <f>Lương!C8</f>
        <v>BA &amp; Lập trình viên cao cấp (BA/Senior Dev)
(Nhóm II)</v>
      </c>
      <c r="I6" s="3"/>
      <c r="J6" s="3"/>
      <c r="K6" s="3" t="str">
        <f>Lương!C9</f>
        <v>Lập trình viên và Kiểm thử viên (Developer/Tester)
(Nhóm IV)</v>
      </c>
      <c r="L6" s="3"/>
      <c r="M6" s="3"/>
      <c r="N6" s="3" t="str">
        <f>Lương!C10</f>
        <v>Thiết kế viên UI/UX (Designer)
(Nhóm IV)</v>
      </c>
      <c r="O6" s="3"/>
      <c r="P6" s="3"/>
      <c r="Q6" s="4"/>
    </row>
    <row r="7" spans="2:17" ht="18" customHeight="1" x14ac:dyDescent="0.25">
      <c r="B7" s="4"/>
      <c r="C7" s="4"/>
      <c r="D7" s="4"/>
      <c r="E7" s="21" t="s">
        <v>54</v>
      </c>
      <c r="F7" s="21" t="s">
        <v>55</v>
      </c>
      <c r="G7" s="21" t="s">
        <v>35</v>
      </c>
      <c r="H7" s="21" t="s">
        <v>54</v>
      </c>
      <c r="I7" s="21" t="s">
        <v>55</v>
      </c>
      <c r="J7" s="21" t="s">
        <v>35</v>
      </c>
      <c r="K7" s="21" t="s">
        <v>54</v>
      </c>
      <c r="L7" s="21" t="s">
        <v>55</v>
      </c>
      <c r="M7" s="21" t="s">
        <v>35</v>
      </c>
      <c r="N7" s="21" t="s">
        <v>54</v>
      </c>
      <c r="O7" s="21" t="s">
        <v>55</v>
      </c>
      <c r="P7" s="21" t="s">
        <v>35</v>
      </c>
      <c r="Q7" s="4"/>
    </row>
    <row r="8" spans="2:17" ht="90" customHeight="1" x14ac:dyDescent="0.25">
      <c r="B8" s="13" t="s">
        <v>56</v>
      </c>
      <c r="C8" s="22" t="s">
        <v>57</v>
      </c>
      <c r="D8" s="22" t="s">
        <v>58</v>
      </c>
      <c r="E8" s="13">
        <v>1</v>
      </c>
      <c r="F8" s="13">
        <v>7</v>
      </c>
      <c r="G8" s="13">
        <f t="shared" ref="G8:G13" si="0">F8*E8</f>
        <v>7</v>
      </c>
      <c r="H8" s="13">
        <v>2</v>
      </c>
      <c r="I8" s="13">
        <v>7</v>
      </c>
      <c r="J8" s="13">
        <f t="shared" ref="J8:J13" si="1">I8*H8</f>
        <v>14</v>
      </c>
      <c r="K8" s="13">
        <v>2</v>
      </c>
      <c r="L8" s="13">
        <v>5</v>
      </c>
      <c r="M8" s="13">
        <f>L8*K8</f>
        <v>10</v>
      </c>
      <c r="N8" s="13">
        <v>1</v>
      </c>
      <c r="O8" s="13">
        <v>3</v>
      </c>
      <c r="P8" s="13">
        <f>O8*N8</f>
        <v>3</v>
      </c>
      <c r="Q8" s="22" t="s">
        <v>59</v>
      </c>
    </row>
    <row r="9" spans="2:17" ht="90" customHeight="1" x14ac:dyDescent="0.25">
      <c r="B9" s="13" t="s">
        <v>60</v>
      </c>
      <c r="C9" s="22" t="s">
        <v>61</v>
      </c>
      <c r="D9" s="22" t="s">
        <v>62</v>
      </c>
      <c r="E9" s="13">
        <v>1</v>
      </c>
      <c r="F9" s="13">
        <v>3</v>
      </c>
      <c r="G9" s="13">
        <f t="shared" si="0"/>
        <v>3</v>
      </c>
      <c r="H9" s="13">
        <v>2</v>
      </c>
      <c r="I9" s="13">
        <v>3</v>
      </c>
      <c r="J9" s="13">
        <f t="shared" si="1"/>
        <v>6</v>
      </c>
      <c r="K9" s="13"/>
      <c r="L9" s="13"/>
      <c r="M9" s="13"/>
      <c r="N9" s="13">
        <v>1</v>
      </c>
      <c r="O9" s="13">
        <v>7</v>
      </c>
      <c r="P9" s="13">
        <f>O9*N9</f>
        <v>7</v>
      </c>
      <c r="Q9" s="22" t="s">
        <v>59</v>
      </c>
    </row>
    <row r="10" spans="2:17" ht="90" customHeight="1" x14ac:dyDescent="0.25">
      <c r="B10" s="13" t="s">
        <v>63</v>
      </c>
      <c r="C10" s="22" t="s">
        <v>64</v>
      </c>
      <c r="D10" s="22" t="s">
        <v>65</v>
      </c>
      <c r="E10" s="13">
        <v>1</v>
      </c>
      <c r="F10" s="13">
        <v>20</v>
      </c>
      <c r="G10" s="13">
        <f t="shared" si="0"/>
        <v>20</v>
      </c>
      <c r="H10" s="13">
        <v>2</v>
      </c>
      <c r="I10" s="13">
        <v>15</v>
      </c>
      <c r="J10" s="13">
        <f t="shared" si="1"/>
        <v>30</v>
      </c>
      <c r="K10" s="13">
        <v>4</v>
      </c>
      <c r="L10" s="13">
        <v>15</v>
      </c>
      <c r="M10" s="13">
        <f>L10*K10</f>
        <v>60</v>
      </c>
      <c r="N10" s="13"/>
      <c r="O10" s="13"/>
      <c r="P10" s="13"/>
      <c r="Q10" s="22" t="s">
        <v>66</v>
      </c>
    </row>
    <row r="11" spans="2:17" ht="90" customHeight="1" x14ac:dyDescent="0.25">
      <c r="B11" s="13" t="s">
        <v>67</v>
      </c>
      <c r="C11" s="22" t="s">
        <v>68</v>
      </c>
      <c r="D11" s="22" t="s">
        <v>69</v>
      </c>
      <c r="E11" s="13">
        <v>1</v>
      </c>
      <c r="F11" s="13">
        <v>16</v>
      </c>
      <c r="G11" s="13">
        <f t="shared" si="0"/>
        <v>16</v>
      </c>
      <c r="H11" s="13">
        <v>2</v>
      </c>
      <c r="I11" s="13">
        <v>15</v>
      </c>
      <c r="J11" s="13">
        <f t="shared" si="1"/>
        <v>30</v>
      </c>
      <c r="K11" s="13">
        <v>3</v>
      </c>
      <c r="L11" s="13">
        <v>15</v>
      </c>
      <c r="M11" s="13">
        <f>L11*K11</f>
        <v>45</v>
      </c>
      <c r="N11" s="13">
        <v>1</v>
      </c>
      <c r="O11" s="13">
        <v>10</v>
      </c>
      <c r="P11" s="13">
        <f>O11*N11</f>
        <v>10</v>
      </c>
      <c r="Q11" s="22" t="s">
        <v>66</v>
      </c>
    </row>
    <row r="12" spans="2:17" ht="90" customHeight="1" x14ac:dyDescent="0.25">
      <c r="B12" s="13" t="s">
        <v>70</v>
      </c>
      <c r="C12" s="22" t="s">
        <v>71</v>
      </c>
      <c r="D12" s="22" t="s">
        <v>72</v>
      </c>
      <c r="E12" s="13">
        <v>1</v>
      </c>
      <c r="F12" s="13">
        <v>5</v>
      </c>
      <c r="G12" s="13">
        <f t="shared" si="0"/>
        <v>5</v>
      </c>
      <c r="H12" s="13">
        <v>2</v>
      </c>
      <c r="I12" s="13">
        <v>5</v>
      </c>
      <c r="J12" s="13">
        <f t="shared" si="1"/>
        <v>10</v>
      </c>
      <c r="K12" s="13">
        <v>4</v>
      </c>
      <c r="L12" s="13">
        <v>7</v>
      </c>
      <c r="M12" s="13">
        <f>L12*K12</f>
        <v>28</v>
      </c>
      <c r="N12" s="13">
        <v>1</v>
      </c>
      <c r="O12" s="13">
        <v>3</v>
      </c>
      <c r="P12" s="13">
        <f>O12*N12</f>
        <v>3</v>
      </c>
      <c r="Q12" s="22" t="s">
        <v>59</v>
      </c>
    </row>
    <row r="13" spans="2:17" ht="90" customHeight="1" x14ac:dyDescent="0.25">
      <c r="B13" s="13" t="s">
        <v>73</v>
      </c>
      <c r="C13" s="22" t="s">
        <v>74</v>
      </c>
      <c r="D13" s="22" t="s">
        <v>75</v>
      </c>
      <c r="E13" s="13">
        <v>1</v>
      </c>
      <c r="F13" s="13">
        <v>3</v>
      </c>
      <c r="G13" s="13">
        <f t="shared" si="0"/>
        <v>3</v>
      </c>
      <c r="H13" s="13">
        <v>2</v>
      </c>
      <c r="I13" s="13">
        <v>2</v>
      </c>
      <c r="J13" s="13">
        <f t="shared" si="1"/>
        <v>4</v>
      </c>
      <c r="K13" s="13">
        <v>2</v>
      </c>
      <c r="L13" s="13">
        <v>2</v>
      </c>
      <c r="M13" s="13">
        <f>L13*K13</f>
        <v>4</v>
      </c>
      <c r="N13" s="13"/>
      <c r="O13" s="13"/>
      <c r="P13" s="13"/>
      <c r="Q13" s="22" t="s">
        <v>76</v>
      </c>
    </row>
    <row r="21" spans="2:17" ht="19.5" customHeight="1" x14ac:dyDescent="0.25">
      <c r="B21" s="5" t="s">
        <v>77</v>
      </c>
      <c r="C21" s="5"/>
      <c r="D21" s="5"/>
      <c r="E21" s="5">
        <f>SUM(G8:G13)</f>
        <v>54</v>
      </c>
      <c r="F21" s="5"/>
      <c r="G21" s="5"/>
      <c r="H21" s="5">
        <f>SUM(J8:J13)</f>
        <v>94</v>
      </c>
      <c r="I21" s="5"/>
      <c r="J21" s="5"/>
      <c r="K21" s="5">
        <f>SUM(M8:M13)</f>
        <v>147</v>
      </c>
      <c r="L21" s="5"/>
      <c r="M21" s="5"/>
      <c r="N21" s="5">
        <f>SUM(P8:P13)</f>
        <v>23</v>
      </c>
      <c r="O21" s="5"/>
      <c r="P21" s="5"/>
      <c r="Q21" s="17"/>
    </row>
  </sheetData>
  <mergeCells count="16">
    <mergeCell ref="B21:D21"/>
    <mergeCell ref="E21:G21"/>
    <mergeCell ref="H21:J21"/>
    <mergeCell ref="K21:M21"/>
    <mergeCell ref="N21:P21"/>
    <mergeCell ref="B2:Q2"/>
    <mergeCell ref="B3:Q3"/>
    <mergeCell ref="B5:B7"/>
    <mergeCell ref="C5:C7"/>
    <mergeCell ref="D5:D7"/>
    <mergeCell ref="E5:P5"/>
    <mergeCell ref="Q5:Q7"/>
    <mergeCell ref="E6:G6"/>
    <mergeCell ref="H6:J6"/>
    <mergeCell ref="K6:M6"/>
    <mergeCell ref="N6:P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"/>
  <sheetViews>
    <sheetView zoomScaleNormal="100" workbookViewId="0"/>
  </sheetViews>
  <sheetFormatPr defaultColWidth="8.7109375" defaultRowHeight="15" x14ac:dyDescent="0.25"/>
  <cols>
    <col min="1" max="1" width="3" customWidth="1"/>
    <col min="2" max="2" width="6" customWidth="1"/>
    <col min="3" max="3" width="52" customWidth="1"/>
    <col min="4" max="4" width="12" customWidth="1"/>
    <col min="5" max="5" width="32" customWidth="1"/>
    <col min="6" max="7" width="20" customWidth="1"/>
  </cols>
  <sheetData>
    <row r="1" spans="2:7" ht="3.75" customHeight="1" x14ac:dyDescent="0.25"/>
    <row r="2" spans="2:7" ht="18" customHeight="1" x14ac:dyDescent="0.25">
      <c r="B2" s="6" t="s">
        <v>78</v>
      </c>
      <c r="C2" s="6"/>
      <c r="D2" s="6"/>
      <c r="E2" s="6"/>
      <c r="F2" s="6"/>
      <c r="G2" s="6"/>
    </row>
    <row r="3" spans="2:7" ht="36" customHeight="1" x14ac:dyDescent="0.25">
      <c r="B3" s="10" t="s">
        <v>1</v>
      </c>
      <c r="C3" s="10"/>
      <c r="D3" s="10"/>
      <c r="E3" s="10"/>
      <c r="F3" s="10"/>
      <c r="G3" s="10"/>
    </row>
    <row r="4" spans="2:7" ht="15.75" customHeight="1" x14ac:dyDescent="0.25">
      <c r="E4" s="9" t="s">
        <v>33</v>
      </c>
      <c r="F4" s="9"/>
      <c r="G4" s="9"/>
    </row>
    <row r="5" spans="2:7" ht="24" customHeight="1" x14ac:dyDescent="0.25">
      <c r="B5" s="12" t="s">
        <v>3</v>
      </c>
      <c r="C5" s="12" t="s">
        <v>79</v>
      </c>
      <c r="D5" s="12" t="s">
        <v>80</v>
      </c>
      <c r="E5" s="12" t="s">
        <v>81</v>
      </c>
      <c r="F5" s="12" t="s">
        <v>82</v>
      </c>
      <c r="G5" s="12" t="s">
        <v>83</v>
      </c>
    </row>
    <row r="6" spans="2:7" ht="19.5" customHeight="1" x14ac:dyDescent="0.25">
      <c r="B6" s="19" t="s">
        <v>38</v>
      </c>
      <c r="C6" s="19" t="s">
        <v>39</v>
      </c>
      <c r="D6" s="19" t="s">
        <v>40</v>
      </c>
      <c r="E6" s="19"/>
      <c r="F6" s="19"/>
      <c r="G6" s="19" t="s">
        <v>41</v>
      </c>
    </row>
    <row r="7" spans="2:7" ht="39.75" customHeight="1" x14ac:dyDescent="0.25">
      <c r="B7" s="13">
        <v>1</v>
      </c>
      <c r="C7" s="14" t="s">
        <v>43</v>
      </c>
      <c r="D7" s="13">
        <v>1</v>
      </c>
      <c r="E7" s="14" t="s">
        <v>84</v>
      </c>
      <c r="F7" s="23">
        <v>60000000</v>
      </c>
      <c r="G7" s="24">
        <f>F7/26</f>
        <v>2307692.3076923075</v>
      </c>
    </row>
    <row r="8" spans="2:7" ht="39.75" customHeight="1" x14ac:dyDescent="0.25">
      <c r="B8" s="13">
        <v>2</v>
      </c>
      <c r="C8" s="14" t="s">
        <v>44</v>
      </c>
      <c r="D8" s="13">
        <v>2</v>
      </c>
      <c r="E8" s="14" t="s">
        <v>85</v>
      </c>
      <c r="F8" s="23">
        <v>40000000</v>
      </c>
      <c r="G8" s="24">
        <f>F8/26</f>
        <v>1538461.5384615385</v>
      </c>
    </row>
    <row r="9" spans="2:7" ht="39.75" customHeight="1" x14ac:dyDescent="0.25">
      <c r="B9" s="13">
        <v>3</v>
      </c>
      <c r="C9" s="14" t="s">
        <v>45</v>
      </c>
      <c r="D9" s="13">
        <v>4</v>
      </c>
      <c r="E9" s="14" t="s">
        <v>86</v>
      </c>
      <c r="F9" s="23">
        <v>20000000</v>
      </c>
      <c r="G9" s="24">
        <f>F9/26</f>
        <v>769230.76923076925</v>
      </c>
    </row>
    <row r="10" spans="2:7" ht="39.75" customHeight="1" x14ac:dyDescent="0.25">
      <c r="B10" s="13">
        <v>4</v>
      </c>
      <c r="C10" s="14" t="s">
        <v>46</v>
      </c>
      <c r="D10" s="13">
        <v>1</v>
      </c>
      <c r="E10" s="14" t="s">
        <v>86</v>
      </c>
      <c r="F10" s="23">
        <v>20000000</v>
      </c>
      <c r="G10" s="24">
        <f>F10/26</f>
        <v>769230.76923076925</v>
      </c>
    </row>
    <row r="11" spans="2:7" ht="54.75" customHeight="1" x14ac:dyDescent="0.25">
      <c r="B11" s="7" t="s">
        <v>87</v>
      </c>
      <c r="C11" s="7"/>
      <c r="D11" s="7"/>
      <c r="E11" s="7"/>
      <c r="F11" s="7"/>
      <c r="G11" s="7"/>
    </row>
  </sheetData>
  <mergeCells count="4">
    <mergeCell ref="B2:G2"/>
    <mergeCell ref="B3:G3"/>
    <mergeCell ref="E4:G4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zoomScaleNormal="100" workbookViewId="0">
      <selection activeCell="E5" sqref="E5:E8"/>
    </sheetView>
  </sheetViews>
  <sheetFormatPr defaultColWidth="8.7109375" defaultRowHeight="15" x14ac:dyDescent="0.25"/>
  <cols>
    <col min="1" max="1" width="3" customWidth="1"/>
    <col min="2" max="2" width="6" customWidth="1"/>
    <col min="3" max="3" width="42" customWidth="1"/>
    <col min="4" max="4" width="40" customWidth="1"/>
    <col min="5" max="6" width="22" customWidth="1"/>
  </cols>
  <sheetData>
    <row r="1" spans="2:6" ht="3.75" customHeight="1" x14ac:dyDescent="0.25"/>
    <row r="2" spans="2:6" ht="18" customHeight="1" x14ac:dyDescent="0.25">
      <c r="B2" s="6" t="s">
        <v>88</v>
      </c>
      <c r="C2" s="6"/>
      <c r="D2" s="6"/>
      <c r="E2" s="6"/>
      <c r="F2" s="6"/>
    </row>
    <row r="3" spans="2:6" ht="13.5" customHeight="1" x14ac:dyDescent="0.25">
      <c r="E3" s="9" t="s">
        <v>89</v>
      </c>
      <c r="F3" s="9"/>
    </row>
    <row r="4" spans="2:6" ht="24" customHeight="1" x14ac:dyDescent="0.25">
      <c r="B4" s="12" t="s">
        <v>90</v>
      </c>
      <c r="C4" s="12" t="s">
        <v>91</v>
      </c>
      <c r="D4" s="12" t="s">
        <v>92</v>
      </c>
      <c r="E4" s="12" t="s">
        <v>37</v>
      </c>
      <c r="F4" s="12" t="s">
        <v>8</v>
      </c>
    </row>
    <row r="5" spans="2:6" ht="36" customHeight="1" x14ac:dyDescent="0.25">
      <c r="B5" s="13">
        <v>1</v>
      </c>
      <c r="C5" s="14" t="s">
        <v>93</v>
      </c>
      <c r="D5" s="14" t="s">
        <v>94</v>
      </c>
      <c r="E5" s="23">
        <v>15000000</v>
      </c>
      <c r="F5" s="19" t="s">
        <v>95</v>
      </c>
    </row>
    <row r="6" spans="2:6" ht="36" customHeight="1" x14ac:dyDescent="0.25">
      <c r="B6" s="13">
        <v>2</v>
      </c>
      <c r="C6" s="14" t="s">
        <v>96</v>
      </c>
      <c r="D6" s="14" t="s">
        <v>97</v>
      </c>
      <c r="E6" s="23">
        <v>20000000</v>
      </c>
      <c r="F6" s="19" t="s">
        <v>98</v>
      </c>
    </row>
    <row r="7" spans="2:6" ht="30" customHeight="1" x14ac:dyDescent="0.25">
      <c r="B7" s="13">
        <v>3</v>
      </c>
      <c r="C7" s="14" t="s">
        <v>99</v>
      </c>
      <c r="D7" s="14" t="s">
        <v>100</v>
      </c>
      <c r="E7" s="24">
        <f>'Khấu hao'!J9</f>
        <v>5333333.333333334</v>
      </c>
      <c r="F7" s="19" t="s">
        <v>100</v>
      </c>
    </row>
    <row r="8" spans="2:6" ht="30" customHeight="1" x14ac:dyDescent="0.25">
      <c r="B8" s="2"/>
      <c r="C8" s="2"/>
      <c r="D8" s="2"/>
      <c r="E8" s="24">
        <f>SUM(E5:E7)</f>
        <v>40333333.333333336</v>
      </c>
      <c r="F8" s="14"/>
    </row>
    <row r="9" spans="2:6" ht="19.5" customHeight="1" x14ac:dyDescent="0.25">
      <c r="B9" s="1" t="s">
        <v>101</v>
      </c>
      <c r="C9" s="1"/>
      <c r="D9" s="1"/>
      <c r="E9" s="25">
        <f>E8</f>
        <v>40333333.333333336</v>
      </c>
      <c r="F9" s="17"/>
    </row>
  </sheetData>
  <mergeCells count="4">
    <mergeCell ref="B2:F2"/>
    <mergeCell ref="E3:F3"/>
    <mergeCell ref="B8:D8"/>
    <mergeCell ref="B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zoomScaleNormal="100" workbookViewId="0">
      <selection activeCell="J6" sqref="J6:J9"/>
    </sheetView>
  </sheetViews>
  <sheetFormatPr defaultColWidth="8.7109375" defaultRowHeight="15" x14ac:dyDescent="0.25"/>
  <cols>
    <col min="1" max="1" width="3" customWidth="1"/>
    <col min="2" max="2" width="6" customWidth="1"/>
    <col min="3" max="3" width="24" customWidth="1"/>
    <col min="4" max="4" width="8" customWidth="1"/>
    <col min="5" max="5" width="10" customWidth="1"/>
    <col min="6" max="6" width="20" customWidth="1"/>
    <col min="7" max="7" width="15" customWidth="1"/>
    <col min="8" max="8" width="12" customWidth="1"/>
    <col min="9" max="9" width="18" customWidth="1"/>
    <col min="10" max="10" width="22" customWidth="1"/>
  </cols>
  <sheetData>
    <row r="1" spans="2:10" ht="3.75" customHeight="1" x14ac:dyDescent="0.25"/>
    <row r="2" spans="2:10" ht="18" customHeight="1" x14ac:dyDescent="0.25">
      <c r="B2" s="6" t="s">
        <v>102</v>
      </c>
      <c r="C2" s="6"/>
      <c r="D2" s="6"/>
      <c r="E2" s="6"/>
      <c r="F2" s="6"/>
      <c r="G2" s="6"/>
      <c r="H2" s="6"/>
      <c r="I2" s="6"/>
      <c r="J2" s="6"/>
    </row>
    <row r="3" spans="2:10" ht="13.5" customHeight="1" x14ac:dyDescent="0.25"/>
    <row r="4" spans="2:10" ht="27.75" customHeight="1" x14ac:dyDescent="0.25">
      <c r="B4" s="4" t="s">
        <v>103</v>
      </c>
      <c r="C4" s="4" t="s">
        <v>104</v>
      </c>
      <c r="D4" s="4" t="s">
        <v>105</v>
      </c>
      <c r="E4" s="4" t="s">
        <v>80</v>
      </c>
      <c r="F4" s="4" t="s">
        <v>106</v>
      </c>
      <c r="G4" s="4" t="s">
        <v>107</v>
      </c>
      <c r="H4" s="4" t="s">
        <v>108</v>
      </c>
      <c r="I4" s="4" t="s">
        <v>109</v>
      </c>
      <c r="J4" s="4" t="s">
        <v>110</v>
      </c>
    </row>
    <row r="5" spans="2:10" ht="21.75" customHeight="1" x14ac:dyDescent="0.25">
      <c r="B5" s="4"/>
      <c r="C5" s="4"/>
      <c r="D5" s="4"/>
      <c r="E5" s="4"/>
      <c r="F5" s="4"/>
      <c r="G5" s="4"/>
      <c r="H5" s="4"/>
      <c r="I5" s="4"/>
      <c r="J5" s="4"/>
    </row>
    <row r="6" spans="2:10" ht="19.5" customHeight="1" x14ac:dyDescent="0.25">
      <c r="B6" s="13">
        <v>1</v>
      </c>
      <c r="C6" s="14" t="s">
        <v>111</v>
      </c>
      <c r="D6" s="13" t="s">
        <v>112</v>
      </c>
      <c r="E6" s="13">
        <v>8</v>
      </c>
      <c r="F6" s="23">
        <v>45000000</v>
      </c>
      <c r="G6" s="13">
        <v>60</v>
      </c>
      <c r="H6" s="13">
        <v>0.4</v>
      </c>
      <c r="I6" s="13">
        <v>2</v>
      </c>
      <c r="J6" s="24">
        <f>E6*F6/G6*H6*I6</f>
        <v>4800000</v>
      </c>
    </row>
    <row r="7" spans="2:10" ht="19.5" customHeight="1" x14ac:dyDescent="0.25">
      <c r="B7" s="13">
        <v>2</v>
      </c>
      <c r="C7" s="14" t="s">
        <v>113</v>
      </c>
      <c r="D7" s="13" t="s">
        <v>112</v>
      </c>
      <c r="E7" s="13">
        <v>4</v>
      </c>
      <c r="F7" s="23">
        <v>8000000</v>
      </c>
      <c r="G7" s="13">
        <v>60</v>
      </c>
      <c r="H7" s="13">
        <v>0.4</v>
      </c>
      <c r="I7" s="13">
        <v>2</v>
      </c>
      <c r="J7" s="24">
        <f>E7*F7/G7*H7*I7</f>
        <v>426666.66666666674</v>
      </c>
    </row>
    <row r="8" spans="2:10" ht="19.5" customHeight="1" x14ac:dyDescent="0.25">
      <c r="B8" s="13">
        <v>3</v>
      </c>
      <c r="C8" s="14" t="s">
        <v>114</v>
      </c>
      <c r="D8" s="13" t="s">
        <v>112</v>
      </c>
      <c r="E8" s="13">
        <v>1</v>
      </c>
      <c r="F8" s="23">
        <v>8000000</v>
      </c>
      <c r="G8" s="13">
        <v>60</v>
      </c>
      <c r="H8" s="13">
        <v>0.4</v>
      </c>
      <c r="I8" s="13">
        <v>2</v>
      </c>
      <c r="J8" s="24">
        <f>E8*F8/G8*H8*I8</f>
        <v>106666.66666666669</v>
      </c>
    </row>
    <row r="9" spans="2:10" ht="19.5" customHeight="1" x14ac:dyDescent="0.25">
      <c r="B9" s="18" t="s">
        <v>115</v>
      </c>
      <c r="C9" s="17"/>
      <c r="D9" s="17"/>
      <c r="E9" s="17"/>
      <c r="F9" s="17"/>
      <c r="G9" s="17"/>
      <c r="H9" s="17"/>
      <c r="I9" s="17"/>
      <c r="J9" s="27">
        <f>SUM(J6:J8)</f>
        <v>5333333.333333334</v>
      </c>
    </row>
    <row r="10" spans="2:10" ht="13.5" customHeight="1" x14ac:dyDescent="0.25">
      <c r="B10" s="8" t="s">
        <v>28</v>
      </c>
      <c r="C10" s="8"/>
      <c r="D10" s="8"/>
      <c r="E10" s="8"/>
      <c r="F10" s="8"/>
      <c r="G10" s="8"/>
      <c r="H10" s="8"/>
      <c r="I10" s="8"/>
      <c r="J10" s="8"/>
    </row>
    <row r="11" spans="2:10" ht="39.75" customHeight="1" x14ac:dyDescent="0.25">
      <c r="B11" s="7" t="s">
        <v>116</v>
      </c>
      <c r="C11" s="7"/>
      <c r="D11" s="7"/>
      <c r="E11" s="7"/>
      <c r="F11" s="7"/>
      <c r="G11" s="7"/>
      <c r="H11" s="7"/>
      <c r="I11" s="7"/>
      <c r="J11" s="7"/>
    </row>
  </sheetData>
  <mergeCells count="12">
    <mergeCell ref="B10:J10"/>
    <mergeCell ref="B11:J11"/>
    <mergeCell ref="B2:J2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TH-TV</vt:lpstr>
      <vt:lpstr>NC-TV</vt:lpstr>
      <vt:lpstr>NC-CT-TV</vt:lpstr>
      <vt:lpstr>Lương</vt:lpstr>
      <vt:lpstr>CPK</vt:lpstr>
      <vt:lpstr>Khấu hao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Personal</cp:lastModifiedBy>
  <cp:revision>0</cp:revision>
  <dcterms:created xsi:type="dcterms:W3CDTF">2026-05-07T07:44:40Z</dcterms:created>
  <dcterms:modified xsi:type="dcterms:W3CDTF">2026-05-07T08:09:38Z</dcterms:modified>
  <dc:language>en-US</dc:language>
</cp:coreProperties>
</file>