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Z:\PHONGBANCONGTY\VPC_ChienLuocPhatTrien\Z_Public\BATDONGSAN\6. Tư vấn CIC\Khảo sát\Tài liệu VICEM Hà Tiên chuẩn bị\6. Danh sách dự án ĐTXD\"/>
    </mc:Choice>
  </mc:AlternateContent>
  <bookViews>
    <workbookView xWindow="0" yWindow="0" windowWidth="19200" windowHeight="697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17" i="1" l="1"/>
  <c r="G9" i="1" s="1"/>
  <c r="H17" i="1"/>
  <c r="H9" i="1" s="1"/>
  <c r="I17" i="1"/>
  <c r="J17" i="1"/>
  <c r="K17" i="1"/>
  <c r="L17" i="1"/>
  <c r="M17" i="1"/>
  <c r="N17" i="1"/>
  <c r="O17" i="1"/>
  <c r="O9" i="1" s="1"/>
  <c r="P17" i="1"/>
  <c r="P9" i="1" s="1"/>
  <c r="Q17" i="1"/>
  <c r="R17" i="1"/>
  <c r="S17" i="1"/>
  <c r="T17" i="1"/>
  <c r="F17" i="1"/>
  <c r="G10" i="1"/>
  <c r="H10" i="1"/>
  <c r="I10" i="1"/>
  <c r="J10" i="1"/>
  <c r="J9" i="1" s="1"/>
  <c r="K10" i="1"/>
  <c r="L10" i="1"/>
  <c r="M10" i="1"/>
  <c r="M9" i="1" s="1"/>
  <c r="N10" i="1"/>
  <c r="O10" i="1"/>
  <c r="P10" i="1"/>
  <c r="Q10" i="1"/>
  <c r="R10" i="1"/>
  <c r="R9" i="1" s="1"/>
  <c r="S10" i="1"/>
  <c r="T10" i="1"/>
  <c r="F10" i="1"/>
  <c r="F9" i="1" s="1"/>
  <c r="T9" i="1" l="1"/>
  <c r="L9" i="1"/>
  <c r="S9" i="1"/>
  <c r="Q9" i="1"/>
  <c r="N9" i="1"/>
  <c r="K9" i="1"/>
  <c r="I9" i="1"/>
</calcChain>
</file>

<file path=xl/sharedStrings.xml><?xml version="1.0" encoding="utf-8"?>
<sst xmlns="http://schemas.openxmlformats.org/spreadsheetml/2006/main" count="183" uniqueCount="88">
  <si>
    <t>Kế hoạch vốn thanh toán</t>
  </si>
  <si>
    <t>C</t>
  </si>
  <si>
    <t>CB</t>
  </si>
  <si>
    <t>CT</t>
  </si>
  <si>
    <t>TII</t>
  </si>
  <si>
    <t>TH</t>
  </si>
  <si>
    <t>M</t>
  </si>
  <si>
    <t>KT</t>
  </si>
  <si>
    <t>Giai đoạn</t>
  </si>
  <si>
    <t>Trạng thái</t>
  </si>
  <si>
    <t>Nhóm DA</t>
  </si>
  <si>
    <t>Tổng số</t>
  </si>
  <si>
    <t>Vay trong nước</t>
  </si>
  <si>
    <t>1</t>
  </si>
  <si>
    <t>Khai thác mỏ đá vôi Thanh Lương</t>
  </si>
  <si>
    <t>0</t>
  </si>
  <si>
    <t>2</t>
  </si>
  <si>
    <t>Cải tạo lò nung clinker 01 - NMXM KL</t>
  </si>
  <si>
    <t>3</t>
  </si>
  <si>
    <t>Tận dụng nhiệt khí thải đẻ phát điện -NMXMKL</t>
  </si>
  <si>
    <t>4</t>
  </si>
  <si>
    <t>Tân dụng nhiệt khi thải để phảt điộn -NMXMBP</t>
  </si>
  <si>
    <t>5</t>
  </si>
  <si>
    <t>Khai thác mỏ đá vôi núi Trâu, núi cỏm, núi Châu Hang</t>
  </si>
  <si>
    <t>6</t>
  </si>
  <si>
    <t>Đầu tư xây dựng công trinh mỏ đà vôi núi Khoe Lá</t>
  </si>
  <si>
    <t>7</t>
  </si>
  <si>
    <t>Nhà che cho bãi đỗ xe NMXM BP</t>
  </si>
  <si>
    <t>8</t>
  </si>
  <si>
    <t>Đầu tư Trạm phân phôi xi măng tại Trà Nóc</t>
  </si>
  <si>
    <t>9</t>
  </si>
  <si>
    <t>Đẩu tư hệ thống tiển nghiền xi măng tại Trạm nghiền Long An</t>
  </si>
  <si>
    <t>202</t>
  </si>
  <si>
    <t>10</t>
  </si>
  <si>
    <t>953</t>
  </si>
  <si>
    <t>11</t>
  </si>
  <si>
    <t>Xây dựng hàng rào bảo vệ khu đât tại phường 12, TP Vũng Tàu</t>
  </si>
  <si>
    <t>683</t>
  </si>
  <si>
    <t>12</t>
  </si>
  <si>
    <t>Đầu tư xây dựng kho nguyên liệu Trạm nghiền Cam Ranh</t>
  </si>
  <si>
    <t>13</t>
  </si>
  <si>
    <t>Đẩu tư xây dựng công ưình khai thảc mỏ đá vôi núi Nai</t>
  </si>
  <si>
    <t>14</t>
  </si>
  <si>
    <t>Cải tạo mở rộng kho phụ gia Trạm nghiền Cam Ranh</t>
  </si>
  <si>
    <t>(8)-(9)+(10) +(11)</t>
  </si>
  <si>
    <t>(2)</t>
  </si>
  <si>
    <t>(11)</t>
  </si>
  <si>
    <t>(14)-(15)+(16) +(17)</t>
  </si>
  <si>
    <t>Dự án nhóm C</t>
  </si>
  <si>
    <t>(15)</t>
  </si>
  <si>
    <t>(16)</t>
  </si>
  <si>
    <t>Vốn khác</t>
  </si>
  <si>
    <t>Kế hoạch năm 2026</t>
  </si>
  <si>
    <t>TT</t>
  </si>
  <si>
    <t>Giá trị TH năm 2025</t>
  </si>
  <si>
    <t>Lũy kế giá trị TH tư đầu đến hết năm 2025</t>
  </si>
  <si>
    <t>Thanh toán năm 2025</t>
  </si>
  <si>
    <t>Ghi chú</t>
  </si>
  <si>
    <t>Kế hoạch khối lượng</t>
  </si>
  <si>
    <t>Xây dựng</t>
  </si>
  <si>
    <t>Thiết bị</t>
  </si>
  <si>
    <t>Khác</t>
  </si>
  <si>
    <t>Trả nợ năm trước</t>
  </si>
  <si>
    <t>Thanh toán năm kế hoạch</t>
  </si>
  <si>
    <t>(3)</t>
  </si>
  <si>
    <t>(5)</t>
  </si>
  <si>
    <t>(9)</t>
  </si>
  <si>
    <t>(10)</t>
  </si>
  <si>
    <t>(12)</t>
  </si>
  <si>
    <t>(13)</t>
  </si>
  <si>
    <t>(17)</t>
  </si>
  <si>
    <t>(18)</t>
  </si>
  <si>
    <t>B</t>
  </si>
  <si>
    <r>
      <rPr>
        <i/>
        <sz val="11"/>
        <rFont val="Arial"/>
        <family val="2"/>
      </rPr>
      <t>Đơn vị tính: Triệu đồng</t>
    </r>
  </si>
  <si>
    <r>
      <rPr>
        <b/>
        <sz val="11"/>
        <rFont val="Arial"/>
        <family val="2"/>
      </rPr>
      <t>Tên dự án</t>
    </r>
  </si>
  <si>
    <r>
      <rPr>
        <b/>
        <i/>
        <sz val="11"/>
        <rFont val="Arial"/>
        <family val="2"/>
      </rPr>
      <t xml:space="preserve">Cơ </t>
    </r>
    <r>
      <rPr>
        <b/>
        <sz val="11"/>
        <rFont val="Arial"/>
        <family val="2"/>
      </rPr>
      <t>cấu nguồn vốn</t>
    </r>
  </si>
  <si>
    <r>
      <rPr>
        <i/>
        <sz val="11"/>
        <rFont val="Arial"/>
        <family val="2"/>
      </rPr>
      <t>(1)</t>
    </r>
  </si>
  <si>
    <r>
      <rPr>
        <b/>
        <sz val="11"/>
        <rFont val="Arial"/>
        <family val="2"/>
      </rPr>
      <t>VICEM HÀ TIÊN (14 dự án)</t>
    </r>
  </si>
  <si>
    <r>
      <rPr>
        <b/>
        <sz val="11"/>
        <rFont val="Arial"/>
        <family val="2"/>
      </rPr>
      <t>Dự án nbóm B</t>
    </r>
  </si>
  <si>
    <r>
      <rPr>
        <b/>
        <sz val="11"/>
        <rFont val="Arial"/>
        <family val="2"/>
      </rPr>
      <t>292</t>
    </r>
  </si>
  <si>
    <r>
      <rPr>
        <i/>
        <sz val="11"/>
        <rFont val="Arial"/>
        <family val="2"/>
      </rPr>
      <t>Ghi chú:</t>
    </r>
  </si>
  <si>
    <r>
      <rPr>
        <i/>
        <sz val="11"/>
        <rFont val="Arial"/>
        <family val="2"/>
      </rPr>
      <t>Ký hiệu các giai đoạn dự án: CB: Chuấn bị dự án; TH: thực hiện dự án; KT: Kết thúc xây dựng, đưa công trình dự án vào khai thác sử dụng.</t>
    </r>
  </si>
  <si>
    <r>
      <rPr>
        <i/>
        <sz val="11"/>
        <rFont val="Arial"/>
        <family val="2"/>
      </rPr>
      <t>Ký hiệu trạng thái kế hoạch của dự án: CT: dự án chuyển tiếp từ năm trước sang; M: dự án mới trong năm kế hoạch.</t>
    </r>
  </si>
  <si>
    <t>Đầu tư dây chuyên đông xử lý chất thải nguy hại ưong sản xuất xi măng tại NMXMBP</t>
  </si>
  <si>
    <t>Tổng mức đầu tư</t>
  </si>
  <si>
    <t>Lũy kế thanh toán từ đầu hết năm 2025</t>
  </si>
  <si>
    <t>Vốn tự có</t>
  </si>
  <si>
    <t>KẾ HOẠCH ĐẦU TƯ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</si>
</sst>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₫_-;\-* #,##0.00\ _₫_-;_-* &quot;-&quot;??\ _₫_-;_-@_-"/>
  </numFmts>
  <fonts count="8" x14ac:knownFonts="1">
    <font>
      <sz val="10"/>
      <name val="Arial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right" vertical="center"/>
    </xf>
    <xf numFmtId="3" fontId="2" fillId="0" borderId="6" xfId="1" applyNumberFormat="1" applyFont="1" applyBorder="1" applyAlignment="1">
      <alignment horizontal="righ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3" fontId="3" fillId="0" borderId="7" xfId="1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3" fontId="2" fillId="0" borderId="8" xfId="1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topLeftCell="A3" zoomScale="70" zoomScaleNormal="70" workbookViewId="0">
      <selection activeCell="S20" sqref="S20"/>
    </sheetView>
  </sheetViews>
  <sheetFormatPr defaultRowHeight="14.25" x14ac:dyDescent="0.65"/>
  <cols>
    <col min="1" max="1" width="3.453125" style="28"/>
    <col min="2" max="2" width="36.453125" style="28" bestFit="1" customWidth="1"/>
    <col min="3" max="3" width="6" style="28" customWidth="1"/>
    <col min="4" max="4" width="7" style="28" customWidth="1"/>
    <col min="5" max="5" width="6" style="28" customWidth="1"/>
    <col min="6" max="6" width="16.453125" style="28" bestFit="1" customWidth="1"/>
    <col min="7" max="19" width="10.86328125" style="28" customWidth="1"/>
    <col min="20" max="20" width="5.2265625" style="28" customWidth="1"/>
    <col min="21" max="21" width="6.31640625" style="28" customWidth="1"/>
    <col min="22" max="16384" width="8.7265625" style="28"/>
  </cols>
  <sheetData>
    <row r="1" spans="1:21" ht="25.5" customHeight="1" x14ac:dyDescent="0.65">
      <c r="A1" s="30" t="s">
        <v>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65">
      <c r="S2" s="11" t="s">
        <v>73</v>
      </c>
    </row>
    <row r="4" spans="1:21" ht="28" customHeight="1" x14ac:dyDescent="0.65">
      <c r="A4" s="25" t="s">
        <v>53</v>
      </c>
      <c r="B4" s="9" t="s">
        <v>74</v>
      </c>
      <c r="C4" s="10" t="s">
        <v>8</v>
      </c>
      <c r="D4" s="10" t="s">
        <v>9</v>
      </c>
      <c r="E4" s="10" t="s">
        <v>10</v>
      </c>
      <c r="F4" s="10" t="s">
        <v>84</v>
      </c>
      <c r="G4" s="10" t="s">
        <v>54</v>
      </c>
      <c r="H4" s="10" t="s">
        <v>55</v>
      </c>
      <c r="I4" s="10" t="s">
        <v>56</v>
      </c>
      <c r="J4" s="10" t="s">
        <v>85</v>
      </c>
      <c r="K4" s="25" t="s">
        <v>52</v>
      </c>
      <c r="L4" s="25"/>
      <c r="M4" s="25"/>
      <c r="N4" s="25"/>
      <c r="O4" s="25"/>
      <c r="P4" s="25"/>
      <c r="Q4" s="25"/>
      <c r="R4" s="25"/>
      <c r="S4" s="25"/>
      <c r="T4" s="25"/>
      <c r="U4" s="10" t="s">
        <v>57</v>
      </c>
    </row>
    <row r="5" spans="1:21" ht="27" customHeight="1" x14ac:dyDescent="0.65">
      <c r="A5" s="9"/>
      <c r="B5" s="9"/>
      <c r="C5" s="10"/>
      <c r="D5" s="10"/>
      <c r="E5" s="10"/>
      <c r="F5" s="10"/>
      <c r="G5" s="10"/>
      <c r="H5" s="10"/>
      <c r="I5" s="10"/>
      <c r="J5" s="10"/>
      <c r="K5" s="25" t="s">
        <v>58</v>
      </c>
      <c r="L5" s="25"/>
      <c r="M5" s="25"/>
      <c r="N5" s="25"/>
      <c r="O5" s="25" t="s">
        <v>0</v>
      </c>
      <c r="P5" s="25"/>
      <c r="Q5" s="25"/>
      <c r="R5" s="25"/>
      <c r="S5" s="25"/>
      <c r="T5" s="25"/>
      <c r="U5" s="10"/>
    </row>
    <row r="6" spans="1:21" ht="23.5" customHeight="1" x14ac:dyDescent="0.65">
      <c r="A6" s="9"/>
      <c r="B6" s="9"/>
      <c r="C6" s="10"/>
      <c r="D6" s="10"/>
      <c r="E6" s="10"/>
      <c r="F6" s="10"/>
      <c r="G6" s="10"/>
      <c r="H6" s="10"/>
      <c r="I6" s="10"/>
      <c r="J6" s="10"/>
      <c r="K6" s="10" t="s">
        <v>11</v>
      </c>
      <c r="L6" s="10" t="s">
        <v>59</v>
      </c>
      <c r="M6" s="25" t="s">
        <v>60</v>
      </c>
      <c r="N6" s="25" t="s">
        <v>61</v>
      </c>
      <c r="O6" s="10" t="s">
        <v>62</v>
      </c>
      <c r="P6" s="10" t="s">
        <v>63</v>
      </c>
      <c r="Q6" s="25" t="s">
        <v>75</v>
      </c>
      <c r="R6" s="25"/>
      <c r="S6" s="25"/>
      <c r="T6" s="25"/>
      <c r="U6" s="10"/>
    </row>
    <row r="7" spans="1:21" ht="43.5" x14ac:dyDescent="0.65">
      <c r="A7" s="9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25"/>
      <c r="N7" s="25"/>
      <c r="O7" s="10"/>
      <c r="P7" s="10"/>
      <c r="Q7" s="26" t="s">
        <v>11</v>
      </c>
      <c r="R7" s="4" t="s">
        <v>12</v>
      </c>
      <c r="S7" s="26" t="s">
        <v>86</v>
      </c>
      <c r="T7" s="4" t="s">
        <v>51</v>
      </c>
      <c r="U7" s="10"/>
    </row>
    <row r="8" spans="1:21" ht="25" customHeight="1" x14ac:dyDescent="0.65">
      <c r="A8" s="7" t="s">
        <v>76</v>
      </c>
      <c r="B8" s="27" t="s">
        <v>45</v>
      </c>
      <c r="C8" s="8"/>
      <c r="D8" s="8"/>
      <c r="E8" s="8"/>
      <c r="F8" s="27" t="s">
        <v>64</v>
      </c>
      <c r="G8" s="27"/>
      <c r="H8" s="27" t="s">
        <v>65</v>
      </c>
      <c r="I8" s="27"/>
      <c r="J8" s="27"/>
      <c r="K8" s="27" t="s">
        <v>44</v>
      </c>
      <c r="L8" s="27" t="s">
        <v>66</v>
      </c>
      <c r="M8" s="27" t="s">
        <v>67</v>
      </c>
      <c r="N8" s="27" t="s">
        <v>46</v>
      </c>
      <c r="O8" s="27" t="s">
        <v>68</v>
      </c>
      <c r="P8" s="27" t="s">
        <v>69</v>
      </c>
      <c r="Q8" s="27" t="s">
        <v>47</v>
      </c>
      <c r="R8" s="27" t="s">
        <v>49</v>
      </c>
      <c r="S8" s="27" t="s">
        <v>50</v>
      </c>
      <c r="T8" s="27" t="s">
        <v>70</v>
      </c>
      <c r="U8" s="27" t="s">
        <v>71</v>
      </c>
    </row>
    <row r="9" spans="1:21" ht="24.35" customHeight="1" x14ac:dyDescent="0.65">
      <c r="A9" s="12"/>
      <c r="B9" s="12" t="s">
        <v>77</v>
      </c>
      <c r="C9" s="13"/>
      <c r="D9" s="13"/>
      <c r="E9" s="13"/>
      <c r="F9" s="14">
        <f>SUBTOTAL(9,F10:F25)</f>
        <v>2988193</v>
      </c>
      <c r="G9" s="14">
        <f>SUBTOTAL(9,G10:G25)</f>
        <v>143777</v>
      </c>
      <c r="H9" s="14">
        <f>SUBTOTAL(9,H10:H25)</f>
        <v>436639</v>
      </c>
      <c r="I9" s="14">
        <f>SUBTOTAL(9,I10:I25)</f>
        <v>133173</v>
      </c>
      <c r="J9" s="14">
        <f>SUBTOTAL(9,J10:J25)</f>
        <v>389458</v>
      </c>
      <c r="K9" s="14">
        <f>SUBTOTAL(9,K10:K25)</f>
        <v>328822</v>
      </c>
      <c r="L9" s="14">
        <f>SUBTOTAL(9,L10:L25)</f>
        <v>99944</v>
      </c>
      <c r="M9" s="14">
        <f>SUBTOTAL(9,M10:M25)</f>
        <v>182291</v>
      </c>
      <c r="N9" s="14">
        <f>SUBTOTAL(9,N10:N25)</f>
        <v>46587</v>
      </c>
      <c r="O9" s="14">
        <f>SUBTOTAL(9,O10:O25)</f>
        <v>54136</v>
      </c>
      <c r="P9" s="14">
        <f>SUBTOTAL(9,P10:P25)</f>
        <v>234116</v>
      </c>
      <c r="Q9" s="14">
        <f>SUBTOTAL(9,Q10:Q25)</f>
        <v>288252</v>
      </c>
      <c r="R9" s="14">
        <f>SUBTOTAL(9,R10:R25)</f>
        <v>147860</v>
      </c>
      <c r="S9" s="14">
        <f>SUBTOTAL(9,S10:S25)</f>
        <v>140392</v>
      </c>
      <c r="T9" s="14">
        <f>SUBTOTAL(9,T10:T25)</f>
        <v>0</v>
      </c>
      <c r="U9" s="12"/>
    </row>
    <row r="10" spans="1:21" ht="24.35" customHeight="1" x14ac:dyDescent="0.65">
      <c r="A10" s="15"/>
      <c r="B10" s="15" t="s">
        <v>78</v>
      </c>
      <c r="C10" s="1"/>
      <c r="D10" s="1"/>
      <c r="E10" s="1"/>
      <c r="F10" s="16">
        <f>SUBTOTAL(9,F11:F16)</f>
        <v>2413067</v>
      </c>
      <c r="G10" s="16">
        <f t="shared" ref="G10:T10" si="0">SUBTOTAL(9,G11:G16)</f>
        <v>138761</v>
      </c>
      <c r="H10" s="16">
        <f t="shared" si="0"/>
        <v>400633</v>
      </c>
      <c r="I10" s="16">
        <f t="shared" si="0"/>
        <v>132032</v>
      </c>
      <c r="J10" s="16">
        <f t="shared" si="0"/>
        <v>363624</v>
      </c>
      <c r="K10" s="16">
        <f t="shared" si="0"/>
        <v>269217</v>
      </c>
      <c r="L10" s="16">
        <f t="shared" si="0"/>
        <v>59788</v>
      </c>
      <c r="M10" s="16">
        <f t="shared" si="0"/>
        <v>168903</v>
      </c>
      <c r="N10" s="16">
        <f t="shared" si="0"/>
        <v>40526</v>
      </c>
      <c r="O10" s="16">
        <f t="shared" si="0"/>
        <v>50672</v>
      </c>
      <c r="P10" s="16">
        <f t="shared" si="0"/>
        <v>180357</v>
      </c>
      <c r="Q10" s="16">
        <f t="shared" si="0"/>
        <v>231029</v>
      </c>
      <c r="R10" s="16">
        <f t="shared" si="0"/>
        <v>147860</v>
      </c>
      <c r="S10" s="16">
        <f t="shared" si="0"/>
        <v>83169</v>
      </c>
      <c r="T10" s="16">
        <f t="shared" si="0"/>
        <v>0</v>
      </c>
      <c r="U10" s="15"/>
    </row>
    <row r="11" spans="1:21" x14ac:dyDescent="0.65">
      <c r="A11" s="17" t="s">
        <v>13</v>
      </c>
      <c r="B11" s="18" t="s">
        <v>14</v>
      </c>
      <c r="C11" s="17" t="s">
        <v>2</v>
      </c>
      <c r="D11" s="17" t="s">
        <v>3</v>
      </c>
      <c r="E11" s="17" t="s">
        <v>72</v>
      </c>
      <c r="F11" s="19">
        <v>488611</v>
      </c>
      <c r="G11" s="19">
        <v>56</v>
      </c>
      <c r="H11" s="19">
        <v>54232</v>
      </c>
      <c r="I11" s="19">
        <v>56</v>
      </c>
      <c r="J11" s="19">
        <v>54232</v>
      </c>
      <c r="K11" s="19">
        <v>388</v>
      </c>
      <c r="L11" s="19" t="s">
        <v>15</v>
      </c>
      <c r="M11" s="19" t="s">
        <v>15</v>
      </c>
      <c r="N11" s="19">
        <v>388</v>
      </c>
      <c r="O11" s="19" t="s">
        <v>15</v>
      </c>
      <c r="P11" s="19">
        <v>116</v>
      </c>
      <c r="Q11" s="19">
        <v>116</v>
      </c>
      <c r="R11" s="19" t="s">
        <v>15</v>
      </c>
      <c r="S11" s="19">
        <v>116</v>
      </c>
      <c r="T11" s="19" t="s">
        <v>15</v>
      </c>
      <c r="U11" s="18"/>
    </row>
    <row r="12" spans="1:21" ht="14.5" x14ac:dyDescent="0.65">
      <c r="A12" s="2" t="s">
        <v>16</v>
      </c>
      <c r="B12" s="20" t="s">
        <v>17</v>
      </c>
      <c r="C12" s="2" t="s">
        <v>2</v>
      </c>
      <c r="D12" s="2" t="s">
        <v>3</v>
      </c>
      <c r="E12" s="2" t="s">
        <v>72</v>
      </c>
      <c r="F12" s="5">
        <v>950000</v>
      </c>
      <c r="G12" s="5">
        <v>974</v>
      </c>
      <c r="H12" s="5">
        <v>974</v>
      </c>
      <c r="I12" s="5">
        <v>292</v>
      </c>
      <c r="J12" s="5" t="s">
        <v>79</v>
      </c>
      <c r="K12" s="5">
        <v>3424</v>
      </c>
      <c r="L12" s="5" t="s">
        <v>15</v>
      </c>
      <c r="M12" s="5" t="s">
        <v>15</v>
      </c>
      <c r="N12" s="5">
        <v>3424</v>
      </c>
      <c r="O12" s="5" t="s">
        <v>15</v>
      </c>
      <c r="P12" s="5">
        <v>1375</v>
      </c>
      <c r="Q12" s="5">
        <v>1375</v>
      </c>
      <c r="R12" s="5" t="s">
        <v>15</v>
      </c>
      <c r="S12" s="5">
        <v>1375</v>
      </c>
      <c r="T12" s="5" t="s">
        <v>15</v>
      </c>
      <c r="U12" s="20"/>
    </row>
    <row r="13" spans="1:21" ht="28.5" x14ac:dyDescent="0.65">
      <c r="A13" s="2" t="s">
        <v>18</v>
      </c>
      <c r="B13" s="21" t="s">
        <v>19</v>
      </c>
      <c r="C13" s="2" t="s">
        <v>4</v>
      </c>
      <c r="D13" s="2" t="s">
        <v>3</v>
      </c>
      <c r="E13" s="2" t="s">
        <v>72</v>
      </c>
      <c r="F13" s="5">
        <v>266717</v>
      </c>
      <c r="G13" s="5">
        <v>623</v>
      </c>
      <c r="H13" s="5">
        <v>2345</v>
      </c>
      <c r="I13" s="5">
        <v>20319</v>
      </c>
      <c r="J13" s="5">
        <v>21928</v>
      </c>
      <c r="K13" s="5">
        <v>112530</v>
      </c>
      <c r="L13" s="5">
        <v>34227</v>
      </c>
      <c r="M13" s="5">
        <v>64893</v>
      </c>
      <c r="N13" s="5">
        <v>13410</v>
      </c>
      <c r="O13" s="5" t="s">
        <v>15</v>
      </c>
      <c r="P13" s="5">
        <v>86600</v>
      </c>
      <c r="Q13" s="5">
        <v>86600</v>
      </c>
      <c r="R13" s="5">
        <v>60731</v>
      </c>
      <c r="S13" s="5">
        <v>25869</v>
      </c>
      <c r="T13" s="5" t="s">
        <v>15</v>
      </c>
      <c r="U13" s="20"/>
    </row>
    <row r="14" spans="1:21" ht="28.5" x14ac:dyDescent="0.65">
      <c r="A14" s="2" t="s">
        <v>20</v>
      </c>
      <c r="B14" s="21" t="s">
        <v>21</v>
      </c>
      <c r="C14" s="2" t="s">
        <v>5</v>
      </c>
      <c r="D14" s="2" t="s">
        <v>3</v>
      </c>
      <c r="E14" s="2" t="s">
        <v>72</v>
      </c>
      <c r="F14" s="5">
        <v>315888</v>
      </c>
      <c r="G14" s="5">
        <v>132515</v>
      </c>
      <c r="H14" s="5">
        <v>135890</v>
      </c>
      <c r="I14" s="5">
        <v>84171</v>
      </c>
      <c r="J14" s="5">
        <v>99492</v>
      </c>
      <c r="K14" s="5">
        <v>119272</v>
      </c>
      <c r="L14" s="5">
        <v>18800</v>
      </c>
      <c r="M14" s="5">
        <v>84712</v>
      </c>
      <c r="N14" s="5">
        <v>15760</v>
      </c>
      <c r="O14" s="5">
        <v>43051</v>
      </c>
      <c r="P14" s="5">
        <v>65302</v>
      </c>
      <c r="Q14" s="5">
        <v>108353</v>
      </c>
      <c r="R14" s="5">
        <v>87129</v>
      </c>
      <c r="S14" s="5">
        <v>21224</v>
      </c>
      <c r="T14" s="5" t="s">
        <v>15</v>
      </c>
      <c r="U14" s="20"/>
    </row>
    <row r="15" spans="1:21" ht="28.5" x14ac:dyDescent="0.65">
      <c r="A15" s="2" t="s">
        <v>22</v>
      </c>
      <c r="B15" s="21" t="s">
        <v>23</v>
      </c>
      <c r="C15" s="2" t="s">
        <v>5</v>
      </c>
      <c r="D15" s="2" t="s">
        <v>3</v>
      </c>
      <c r="E15" s="2" t="s">
        <v>72</v>
      </c>
      <c r="F15" s="5">
        <v>230731</v>
      </c>
      <c r="G15" s="5">
        <v>1008</v>
      </c>
      <c r="H15" s="5">
        <v>119858</v>
      </c>
      <c r="I15" s="5">
        <v>6728</v>
      </c>
      <c r="J15" s="5">
        <v>116821</v>
      </c>
      <c r="K15" s="5">
        <v>24506</v>
      </c>
      <c r="L15" s="5">
        <v>4730</v>
      </c>
      <c r="M15" s="5">
        <v>18976</v>
      </c>
      <c r="N15" s="5">
        <v>800</v>
      </c>
      <c r="O15" s="5">
        <v>1964</v>
      </c>
      <c r="P15" s="5">
        <v>19764</v>
      </c>
      <c r="Q15" s="5">
        <v>21728</v>
      </c>
      <c r="R15" s="5" t="s">
        <v>15</v>
      </c>
      <c r="S15" s="5">
        <v>21728</v>
      </c>
      <c r="T15" s="5" t="s">
        <v>15</v>
      </c>
      <c r="U15" s="20"/>
    </row>
    <row r="16" spans="1:21" ht="28.5" x14ac:dyDescent="0.65">
      <c r="A16" s="2" t="s">
        <v>24</v>
      </c>
      <c r="B16" s="21" t="s">
        <v>25</v>
      </c>
      <c r="C16" s="2" t="s">
        <v>5</v>
      </c>
      <c r="D16" s="2" t="s">
        <v>3</v>
      </c>
      <c r="E16" s="2" t="s">
        <v>72</v>
      </c>
      <c r="F16" s="5">
        <v>161120</v>
      </c>
      <c r="G16" s="5">
        <v>3585</v>
      </c>
      <c r="H16" s="5">
        <v>87334</v>
      </c>
      <c r="I16" s="5">
        <v>20466</v>
      </c>
      <c r="J16" s="5">
        <v>71151</v>
      </c>
      <c r="K16" s="5">
        <v>9097</v>
      </c>
      <c r="L16" s="5">
        <v>2031</v>
      </c>
      <c r="M16" s="5">
        <v>322</v>
      </c>
      <c r="N16" s="5">
        <v>6744</v>
      </c>
      <c r="O16" s="5">
        <v>5657</v>
      </c>
      <c r="P16" s="5">
        <v>7200</v>
      </c>
      <c r="Q16" s="5">
        <v>12857</v>
      </c>
      <c r="R16" s="5" t="s">
        <v>15</v>
      </c>
      <c r="S16" s="5">
        <v>12857</v>
      </c>
      <c r="T16" s="5" t="s">
        <v>15</v>
      </c>
      <c r="U16" s="20"/>
    </row>
    <row r="17" spans="1:21" ht="31" customHeight="1" x14ac:dyDescent="0.65">
      <c r="A17" s="15"/>
      <c r="B17" s="22" t="s">
        <v>48</v>
      </c>
      <c r="C17" s="1"/>
      <c r="D17" s="1"/>
      <c r="E17" s="1"/>
      <c r="F17" s="16">
        <f>SUBTOTAL(9,F18:F25)</f>
        <v>575126</v>
      </c>
      <c r="G17" s="16">
        <f t="shared" ref="G17:T17" si="1">SUBTOTAL(9,G18:G25)</f>
        <v>5016</v>
      </c>
      <c r="H17" s="16">
        <f t="shared" si="1"/>
        <v>36006</v>
      </c>
      <c r="I17" s="16">
        <f t="shared" si="1"/>
        <v>1141</v>
      </c>
      <c r="J17" s="16">
        <f t="shared" si="1"/>
        <v>25834</v>
      </c>
      <c r="K17" s="16">
        <f t="shared" si="1"/>
        <v>59605</v>
      </c>
      <c r="L17" s="16">
        <f t="shared" si="1"/>
        <v>40156</v>
      </c>
      <c r="M17" s="16">
        <f t="shared" si="1"/>
        <v>13388</v>
      </c>
      <c r="N17" s="16">
        <f t="shared" si="1"/>
        <v>6061</v>
      </c>
      <c r="O17" s="16">
        <f t="shared" si="1"/>
        <v>3464</v>
      </c>
      <c r="P17" s="16">
        <f t="shared" si="1"/>
        <v>53759</v>
      </c>
      <c r="Q17" s="16">
        <f t="shared" si="1"/>
        <v>57223</v>
      </c>
      <c r="R17" s="16">
        <f t="shared" si="1"/>
        <v>0</v>
      </c>
      <c r="S17" s="16">
        <f t="shared" si="1"/>
        <v>57223</v>
      </c>
      <c r="T17" s="16">
        <f t="shared" si="1"/>
        <v>0</v>
      </c>
      <c r="U17" s="15"/>
    </row>
    <row r="18" spans="1:21" ht="23.25" customHeight="1" x14ac:dyDescent="0.65">
      <c r="A18" s="2" t="s">
        <v>26</v>
      </c>
      <c r="B18" s="20" t="s">
        <v>27</v>
      </c>
      <c r="C18" s="2" t="s">
        <v>2</v>
      </c>
      <c r="D18" s="2" t="s">
        <v>6</v>
      </c>
      <c r="E18" s="2" t="s">
        <v>1</v>
      </c>
      <c r="F18" s="5">
        <v>18290</v>
      </c>
      <c r="G18" s="5">
        <v>0</v>
      </c>
      <c r="H18" s="5" t="s">
        <v>15</v>
      </c>
      <c r="I18" s="5" t="s">
        <v>15</v>
      </c>
      <c r="J18" s="5" t="s">
        <v>15</v>
      </c>
      <c r="K18" s="5">
        <v>10030</v>
      </c>
      <c r="L18" s="5">
        <v>9256</v>
      </c>
      <c r="M18" s="5" t="s">
        <v>15</v>
      </c>
      <c r="N18" s="5">
        <v>774</v>
      </c>
      <c r="O18" s="5" t="s">
        <v>15</v>
      </c>
      <c r="P18" s="5">
        <v>9567</v>
      </c>
      <c r="Q18" s="5">
        <v>9567</v>
      </c>
      <c r="R18" s="5" t="s">
        <v>15</v>
      </c>
      <c r="S18" s="5">
        <v>9567</v>
      </c>
      <c r="T18" s="5" t="s">
        <v>15</v>
      </c>
      <c r="U18" s="20"/>
    </row>
    <row r="19" spans="1:21" ht="28.5" x14ac:dyDescent="0.65">
      <c r="A19" s="2" t="s">
        <v>28</v>
      </c>
      <c r="B19" s="21" t="s">
        <v>29</v>
      </c>
      <c r="C19" s="2" t="s">
        <v>2</v>
      </c>
      <c r="D19" s="2" t="s">
        <v>3</v>
      </c>
      <c r="E19" s="2" t="s">
        <v>1</v>
      </c>
      <c r="F19" s="5">
        <v>110000</v>
      </c>
      <c r="G19" s="5">
        <v>0</v>
      </c>
      <c r="H19" s="5" t="s">
        <v>15</v>
      </c>
      <c r="I19" s="5" t="s">
        <v>15</v>
      </c>
      <c r="J19" s="5" t="s">
        <v>15</v>
      </c>
      <c r="K19" s="5">
        <v>480</v>
      </c>
      <c r="L19" s="5" t="s">
        <v>15</v>
      </c>
      <c r="M19" s="5" t="s">
        <v>15</v>
      </c>
      <c r="N19" s="5">
        <v>480</v>
      </c>
      <c r="O19" s="5" t="s">
        <v>15</v>
      </c>
      <c r="P19" s="5">
        <v>144</v>
      </c>
      <c r="Q19" s="5">
        <v>144</v>
      </c>
      <c r="R19" s="5" t="s">
        <v>15</v>
      </c>
      <c r="S19" s="5">
        <v>144</v>
      </c>
      <c r="T19" s="5" t="s">
        <v>15</v>
      </c>
      <c r="U19" s="20"/>
    </row>
    <row r="20" spans="1:21" ht="28.5" x14ac:dyDescent="0.65">
      <c r="A20" s="2" t="s">
        <v>30</v>
      </c>
      <c r="B20" s="21" t="s">
        <v>31</v>
      </c>
      <c r="C20" s="2" t="s">
        <v>2</v>
      </c>
      <c r="D20" s="2" t="s">
        <v>3</v>
      </c>
      <c r="E20" s="2" t="s">
        <v>1</v>
      </c>
      <c r="F20" s="5">
        <v>230000</v>
      </c>
      <c r="G20" s="5">
        <v>672</v>
      </c>
      <c r="H20" s="5">
        <v>672</v>
      </c>
      <c r="I20" s="5">
        <v>202</v>
      </c>
      <c r="J20" s="5" t="s">
        <v>32</v>
      </c>
      <c r="K20" s="5">
        <v>16925</v>
      </c>
      <c r="L20" s="5">
        <v>2721</v>
      </c>
      <c r="M20" s="5">
        <v>13388</v>
      </c>
      <c r="N20" s="5">
        <v>816</v>
      </c>
      <c r="O20" s="5" t="s">
        <v>15</v>
      </c>
      <c r="P20" s="5">
        <v>16357</v>
      </c>
      <c r="Q20" s="5">
        <v>16357</v>
      </c>
      <c r="R20" s="5" t="s">
        <v>15</v>
      </c>
      <c r="S20" s="5">
        <v>16357</v>
      </c>
      <c r="T20" s="5" t="s">
        <v>15</v>
      </c>
      <c r="U20" s="20"/>
    </row>
    <row r="21" spans="1:21" ht="42.75" x14ac:dyDescent="0.65">
      <c r="A21" s="2" t="s">
        <v>33</v>
      </c>
      <c r="B21" s="21" t="s">
        <v>83</v>
      </c>
      <c r="C21" s="2" t="s">
        <v>2</v>
      </c>
      <c r="D21" s="2" t="s">
        <v>3</v>
      </c>
      <c r="E21" s="2" t="s">
        <v>1</v>
      </c>
      <c r="F21" s="5">
        <v>115703</v>
      </c>
      <c r="G21" s="5">
        <v>356</v>
      </c>
      <c r="H21" s="5">
        <v>1446</v>
      </c>
      <c r="I21" s="5">
        <v>256</v>
      </c>
      <c r="J21" s="5" t="s">
        <v>34</v>
      </c>
      <c r="K21" s="5">
        <v>20687</v>
      </c>
      <c r="L21" s="5">
        <v>18198</v>
      </c>
      <c r="M21" s="5" t="s">
        <v>15</v>
      </c>
      <c r="N21" s="5">
        <v>2489</v>
      </c>
      <c r="O21" s="5" t="s">
        <v>15</v>
      </c>
      <c r="P21" s="5">
        <v>17412</v>
      </c>
      <c r="Q21" s="5">
        <v>17412</v>
      </c>
      <c r="R21" s="5" t="s">
        <v>15</v>
      </c>
      <c r="S21" s="5">
        <v>17412</v>
      </c>
      <c r="T21" s="5" t="s">
        <v>15</v>
      </c>
      <c r="U21" s="20"/>
    </row>
    <row r="22" spans="1:21" ht="28.5" x14ac:dyDescent="0.65">
      <c r="A22" s="2" t="s">
        <v>35</v>
      </c>
      <c r="B22" s="21" t="s">
        <v>36</v>
      </c>
      <c r="C22" s="2" t="s">
        <v>5</v>
      </c>
      <c r="D22" s="2" t="s">
        <v>3</v>
      </c>
      <c r="E22" s="2" t="s">
        <v>1</v>
      </c>
      <c r="F22" s="5">
        <v>2212</v>
      </c>
      <c r="G22" s="5">
        <v>0</v>
      </c>
      <c r="H22" s="5">
        <v>0</v>
      </c>
      <c r="I22" s="5">
        <v>683</v>
      </c>
      <c r="J22" s="5" t="s">
        <v>37</v>
      </c>
      <c r="K22" s="5">
        <v>2052</v>
      </c>
      <c r="L22" s="5">
        <v>1896</v>
      </c>
      <c r="M22" s="5" t="s">
        <v>15</v>
      </c>
      <c r="N22" s="5">
        <v>156</v>
      </c>
      <c r="O22" s="5" t="s">
        <v>15</v>
      </c>
      <c r="P22" s="5">
        <v>1529</v>
      </c>
      <c r="Q22" s="5">
        <v>1529</v>
      </c>
      <c r="R22" s="5" t="s">
        <v>15</v>
      </c>
      <c r="S22" s="5">
        <v>1529</v>
      </c>
      <c r="T22" s="5" t="s">
        <v>15</v>
      </c>
      <c r="U22" s="20"/>
    </row>
    <row r="23" spans="1:21" ht="28.5" x14ac:dyDescent="0.65">
      <c r="A23" s="2" t="s">
        <v>38</v>
      </c>
      <c r="B23" s="21" t="s">
        <v>39</v>
      </c>
      <c r="C23" s="2" t="s">
        <v>5</v>
      </c>
      <c r="D23" s="2" t="s">
        <v>3</v>
      </c>
      <c r="E23" s="2" t="s">
        <v>1</v>
      </c>
      <c r="F23" s="5">
        <v>9800</v>
      </c>
      <c r="G23" s="5">
        <v>524</v>
      </c>
      <c r="H23" s="5">
        <v>524</v>
      </c>
      <c r="I23" s="5" t="s">
        <v>15</v>
      </c>
      <c r="J23" s="5" t="s">
        <v>15</v>
      </c>
      <c r="K23" s="5">
        <v>8433</v>
      </c>
      <c r="L23" s="5">
        <v>8085</v>
      </c>
      <c r="M23" s="5" t="s">
        <v>15</v>
      </c>
      <c r="N23" s="5">
        <v>348</v>
      </c>
      <c r="O23" s="5" t="s">
        <v>15</v>
      </c>
      <c r="P23" s="5">
        <v>8433</v>
      </c>
      <c r="Q23" s="5">
        <v>8433</v>
      </c>
      <c r="R23" s="5" t="s">
        <v>15</v>
      </c>
      <c r="S23" s="5">
        <v>8433</v>
      </c>
      <c r="T23" s="5" t="s">
        <v>15</v>
      </c>
      <c r="U23" s="20"/>
    </row>
    <row r="24" spans="1:21" ht="28.5" x14ac:dyDescent="0.65">
      <c r="A24" s="2" t="s">
        <v>40</v>
      </c>
      <c r="B24" s="21" t="s">
        <v>41</v>
      </c>
      <c r="C24" s="2" t="s">
        <v>5</v>
      </c>
      <c r="D24" s="2" t="s">
        <v>3</v>
      </c>
      <c r="E24" s="2" t="s">
        <v>1</v>
      </c>
      <c r="F24" s="5">
        <v>85327</v>
      </c>
      <c r="G24" s="5" t="s">
        <v>15</v>
      </c>
      <c r="H24" s="5">
        <v>29900</v>
      </c>
      <c r="I24" s="5" t="s">
        <v>15</v>
      </c>
      <c r="J24" s="5">
        <v>25834</v>
      </c>
      <c r="K24" s="5">
        <v>973</v>
      </c>
      <c r="L24" s="5" t="s">
        <v>15</v>
      </c>
      <c r="M24" s="5" t="s">
        <v>15</v>
      </c>
      <c r="N24" s="5">
        <v>973</v>
      </c>
      <c r="O24" s="5" t="s">
        <v>15</v>
      </c>
      <c r="P24" s="5">
        <v>292</v>
      </c>
      <c r="Q24" s="5">
        <v>292</v>
      </c>
      <c r="R24" s="5" t="s">
        <v>15</v>
      </c>
      <c r="S24" s="5">
        <v>292</v>
      </c>
      <c r="T24" s="5" t="s">
        <v>15</v>
      </c>
      <c r="U24" s="20"/>
    </row>
    <row r="25" spans="1:21" ht="28.5" x14ac:dyDescent="0.65">
      <c r="A25" s="3" t="s">
        <v>42</v>
      </c>
      <c r="B25" s="23" t="s">
        <v>43</v>
      </c>
      <c r="C25" s="3" t="s">
        <v>7</v>
      </c>
      <c r="D25" s="3" t="s">
        <v>3</v>
      </c>
      <c r="E25" s="3" t="s">
        <v>1</v>
      </c>
      <c r="F25" s="6">
        <v>3794</v>
      </c>
      <c r="G25" s="6">
        <v>3464</v>
      </c>
      <c r="H25" s="6">
        <v>3464</v>
      </c>
      <c r="I25" s="6" t="s">
        <v>15</v>
      </c>
      <c r="J25" s="6" t="s">
        <v>15</v>
      </c>
      <c r="K25" s="6">
        <v>25</v>
      </c>
      <c r="L25" s="6">
        <v>0</v>
      </c>
      <c r="M25" s="6" t="s">
        <v>15</v>
      </c>
      <c r="N25" s="6">
        <v>25</v>
      </c>
      <c r="O25" s="6">
        <v>3464</v>
      </c>
      <c r="P25" s="6">
        <v>25</v>
      </c>
      <c r="Q25" s="6">
        <v>3489</v>
      </c>
      <c r="R25" s="6" t="s">
        <v>15</v>
      </c>
      <c r="S25" s="6">
        <v>3489</v>
      </c>
      <c r="T25" s="6" t="s">
        <v>15</v>
      </c>
      <c r="U25" s="24"/>
    </row>
    <row r="27" spans="1:21" x14ac:dyDescent="0.65">
      <c r="A27" s="29" t="s">
        <v>80</v>
      </c>
    </row>
    <row r="29" spans="1:21" x14ac:dyDescent="0.65">
      <c r="A29" s="29" t="s">
        <v>81</v>
      </c>
    </row>
    <row r="30" spans="1:21" x14ac:dyDescent="0.65">
      <c r="A30" s="29" t="s">
        <v>82</v>
      </c>
    </row>
  </sheetData>
  <mergeCells count="22">
    <mergeCell ref="A1:U1"/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T4"/>
    <mergeCell ref="U4:U7"/>
    <mergeCell ref="K5:N5"/>
    <mergeCell ref="O5:T5"/>
    <mergeCell ref="K6:K7"/>
    <mergeCell ref="L6:L7"/>
    <mergeCell ref="M6:M7"/>
    <mergeCell ref="N6:N7"/>
    <mergeCell ref="O6:O7"/>
    <mergeCell ref="P6:P7"/>
    <mergeCell ref="Q6:T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TRUNG</cp:lastModifiedBy>
  <dcterms:modified xsi:type="dcterms:W3CDTF">2026-06-17T02:56:06Z</dcterms:modified>
</cp:coreProperties>
</file>