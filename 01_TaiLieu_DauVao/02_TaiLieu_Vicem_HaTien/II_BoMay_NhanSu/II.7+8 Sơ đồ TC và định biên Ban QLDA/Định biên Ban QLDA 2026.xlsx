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Z:\PHONGBANCONGTY\VPC_ChienLuocPhatTrien\Z_Public\BATDONGSAN\6. Tư vấn CIC\Khảo sát\Tài liệu VICEM Hà Tiên chuẩn bị\II.6. Sơ đồ TC+ CNNV các PB\"/>
    </mc:Choice>
  </mc:AlternateContent>
  <xr:revisionPtr revIDLastSave="0" documentId="8_{24A3B376-111E-4D9F-9A24-339FFE89048D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3" i="1" l="1"/>
  <c r="C43" i="1"/>
  <c r="D20" i="1"/>
  <c r="C20" i="1"/>
  <c r="C11" i="1" s="1"/>
  <c r="C7" i="1" s="1"/>
  <c r="D11" i="1"/>
  <c r="D7" i="1" s="1"/>
</calcChain>
</file>

<file path=xl/sharedStrings.xml><?xml version="1.0" encoding="utf-8"?>
<sst xmlns="http://schemas.openxmlformats.org/spreadsheetml/2006/main" count="105" uniqueCount="100">
  <si>
    <t>Phụ lục 1. Báo cáo thực hiện định biên lao động 05/2026 Theo cơ cấu hiện tại</t>
  </si>
  <si>
    <t>TT</t>
  </si>
  <si>
    <t>Chức danh, định biên theo quyết định 
số 04/11/QĐ-HĐQT ngày 03/11/2025</t>
  </si>
  <si>
    <t>Lao động bố trí theo quyết định 
số 04/11/QĐ-HĐQT</t>
  </si>
  <si>
    <t>chuyên ngành</t>
  </si>
  <si>
    <t>Ghi chú</t>
  </si>
  <si>
    <t>Chức danh</t>
  </si>
  <si>
    <t>Định biên theo QĐ số 04/11/QĐ-HĐQT 2025</t>
  </si>
  <si>
    <t xml:space="preserve">Định 
biên thực tế </t>
  </si>
  <si>
    <t>Họ tên</t>
  </si>
  <si>
    <t>SDB</t>
  </si>
  <si>
    <t>#</t>
  </si>
  <si>
    <t>(1)</t>
  </si>
  <si>
    <t>(2)</t>
  </si>
  <si>
    <t>(3)</t>
  </si>
  <si>
    <t>(4)</t>
  </si>
  <si>
    <t>(5)</t>
  </si>
  <si>
    <t>Tổng cộng</t>
  </si>
  <si>
    <t>I</t>
  </si>
  <si>
    <t>BAN GIÁM ĐỐC</t>
  </si>
  <si>
    <t>Giám đốc</t>
  </si>
  <si>
    <t>Phạm Trương Nam Tú</t>
  </si>
  <si>
    <t>07043</t>
  </si>
  <si>
    <t>Phó Giám Đốc</t>
  </si>
  <si>
    <t>Phạm Tuyên Tú</t>
  </si>
  <si>
    <t>II</t>
  </si>
  <si>
    <t>PHOØNG KYÕ THUAÄT- TOÅNG HÔÏP</t>
  </si>
  <si>
    <t>Trưởng phòng</t>
  </si>
  <si>
    <t>Trương Văn Hoàng</t>
  </si>
  <si>
    <t>Điện tự động hóa</t>
  </si>
  <si>
    <t>Nguyễn Nguyễn Anh Tuấn</t>
  </si>
  <si>
    <t>Phó phòng</t>
  </si>
  <si>
    <t>Viên Võ Thanh Bình</t>
  </si>
  <si>
    <t>Cử nhân kinh tế</t>
  </si>
  <si>
    <t>Bùi Kiên Quyết</t>
  </si>
  <si>
    <t>QĐ về hưu T08/2026</t>
  </si>
  <si>
    <t>Nguyễn Hoàng Anh</t>
  </si>
  <si>
    <t>07020</t>
  </si>
  <si>
    <t>Nhân viên văn thư lưu trữ</t>
  </si>
  <si>
    <t>Nguyễn Hoàng Kim Ngân</t>
  </si>
  <si>
    <t>Cơ giới-Xếp dỡ</t>
  </si>
  <si>
    <t xml:space="preserve">Nhân viên kế hoạch tổng hợp </t>
  </si>
  <si>
    <t>Nguyễn Thị Hồng Nga</t>
  </si>
  <si>
    <t>Ngôn ngữ học</t>
  </si>
  <si>
    <t>Phạm Sơn Trung</t>
  </si>
  <si>
    <t>Lao đông tiền lương</t>
  </si>
  <si>
    <t xml:space="preserve">Nhân viên kỹ thuật </t>
  </si>
  <si>
    <t>Nhân viên kỹ thuật công nghệ</t>
  </si>
  <si>
    <t>Trần Minh Nhựt</t>
  </si>
  <si>
    <t>KS Kỹ thuật vật liệu</t>
  </si>
  <si>
    <t>Nhân viên kỹ thuật cơ khí</t>
  </si>
  <si>
    <t>Lư Quốc Lâm</t>
  </si>
  <si>
    <t>Cơ khí động lực (ĐH SPKT)</t>
  </si>
  <si>
    <t>Nguyễn Quang Hưng</t>
  </si>
  <si>
    <t>Cơ khí</t>
  </si>
  <si>
    <t>Lê Huy Thắng</t>
  </si>
  <si>
    <t>KS cơ khí chế tạo máy</t>
  </si>
  <si>
    <t>Lê Cảnh Quang</t>
  </si>
  <si>
    <t>Công nghệ Kỹ thuật cơ khí</t>
  </si>
  <si>
    <t>Nhân viên kỹ thuật điện</t>
  </si>
  <si>
    <t>Đoàn Xuân Nam</t>
  </si>
  <si>
    <t>Kỹ sư Điện khí hóa &amp; Cung cấp điện</t>
  </si>
  <si>
    <t>Bùi Ngọc Liêu</t>
  </si>
  <si>
    <t>Kỹ thuật điện - Điện tử</t>
  </si>
  <si>
    <t>Ngô Đình Khoa</t>
  </si>
  <si>
    <t>Điện Công nghiệp</t>
  </si>
  <si>
    <t>Nhân viên kỹ thuật xây dựng</t>
  </si>
  <si>
    <t>Trương Hữu Nhất</t>
  </si>
  <si>
    <t>Kỹ sư Xây dựng cầu đường</t>
  </si>
  <si>
    <t>Trần Ngọc Hiếu</t>
  </si>
  <si>
    <t>Thái Hoàng Long</t>
  </si>
  <si>
    <t>Xây Dựng Dân Dụng &amp; Công Nghiệp</t>
  </si>
  <si>
    <t>Nguyễn Thị Thanh Hiền</t>
  </si>
  <si>
    <t>Nguyễn Lương Trường</t>
  </si>
  <si>
    <t>Nguyễn Thị Xuân Thu</t>
  </si>
  <si>
    <t>Địa Chất</t>
  </si>
  <si>
    <t>Nhân viên vật tư thiết bị công trình</t>
  </si>
  <si>
    <t>Trần Hữu Chí</t>
  </si>
  <si>
    <t>Điện xi măng</t>
  </si>
  <si>
    <t>Trần Trung Kiên</t>
  </si>
  <si>
    <t>Nhân viên Bất động sản đất đai</t>
  </si>
  <si>
    <t>Nguyễn Duy Sơn</t>
  </si>
  <si>
    <t>PHÒNG KẾ TOÁN TÀI CHÍNH</t>
  </si>
  <si>
    <t>Trương Quốc Bình</t>
  </si>
  <si>
    <t>04042</t>
  </si>
  <si>
    <t>Tài chinh- ngân hàng</t>
  </si>
  <si>
    <t>Ngô Nguyễn Diệu Chữ</t>
  </si>
  <si>
    <t>Trương Thị Thanh Hải</t>
  </si>
  <si>
    <t>Kiểm toán</t>
  </si>
  <si>
    <t>Nhân viên kế toán</t>
  </si>
  <si>
    <t>Nguyễn Thị Lê Huyền</t>
  </si>
  <si>
    <t>Tài chính kế toán DN</t>
  </si>
  <si>
    <t>Nguyễn Thị Mến</t>
  </si>
  <si>
    <t>Kế toán</t>
  </si>
  <si>
    <t>Nguyễn Thị Thùy Trang</t>
  </si>
  <si>
    <t>Kế toán sản xuất</t>
  </si>
  <si>
    <t>Lê Thị Ngọc Thùy</t>
  </si>
  <si>
    <t>Tài chính-Ngân hàng</t>
  </si>
  <si>
    <t>Nhân viên kế toán tổng hợp</t>
  </si>
  <si>
    <t>BAN QUẢN LÝ DỰ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</si>
</sst>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2" x14ac:knownFonts="1"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0"/>
      <name val="Times New Roman"/>
      <family val="1"/>
    </font>
    <font>
      <i/>
      <sz val="12"/>
      <name val="Times New Roman"/>
      <family val="1"/>
    </font>
    <font>
      <sz val="12"/>
      <name val="VNI-Times"/>
    </font>
    <font>
      <b/>
      <i/>
      <sz val="12"/>
      <name val="Times New Roman"/>
      <family val="1"/>
    </font>
    <font>
      <sz val="12"/>
      <color indexed="8"/>
      <name val="Times New Roman"/>
      <family val="1"/>
    </font>
    <font>
      <b/>
      <sz val="11"/>
      <color theme="1"/>
      <name val="VNI-Times"/>
    </font>
    <font>
      <sz val="11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5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quotePrefix="1" applyFont="1" applyFill="1" applyBorder="1" applyAlignment="1">
      <alignment horizontal="center" vertical="center" wrapText="1"/>
    </xf>
    <xf numFmtId="0" fontId="6" fillId="3" borderId="1" xfId="0" quotePrefix="1" applyFont="1" applyFill="1" applyBorder="1" applyAlignment="1">
      <alignment horizontal="center" vertical="center" wrapText="1"/>
    </xf>
    <xf numFmtId="0" fontId="5" fillId="2" borderId="0" xfId="0" applyFont="1" applyFill="1"/>
    <xf numFmtId="0" fontId="8" fillId="2" borderId="1" xfId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/>
    <xf numFmtId="0" fontId="8" fillId="2" borderId="1" xfId="0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1" applyFont="1" applyFill="1" applyBorder="1" applyAlignment="1">
      <alignment vertical="center" wrapText="1"/>
    </xf>
    <xf numFmtId="0" fontId="6" fillId="2" borderId="1" xfId="1" quotePrefix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/>
    <xf numFmtId="0" fontId="9" fillId="5" borderId="4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 wrapText="1"/>
    </xf>
    <xf numFmtId="0" fontId="10" fillId="6" borderId="5" xfId="0" applyFont="1" applyFill="1" applyBorder="1"/>
    <xf numFmtId="0" fontId="8" fillId="0" borderId="5" xfId="0" applyFont="1" applyBorder="1" applyAlignment="1">
      <alignment horizontal="center" vertical="center" wrapText="1"/>
    </xf>
    <xf numFmtId="0" fontId="8" fillId="2" borderId="5" xfId="1" applyFont="1" applyFill="1" applyBorder="1" applyAlignment="1">
      <alignment vertical="center" wrapText="1"/>
    </xf>
    <xf numFmtId="0" fontId="8" fillId="2" borderId="5" xfId="1" quotePrefix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 wrapText="1"/>
    </xf>
    <xf numFmtId="164" fontId="6" fillId="2" borderId="5" xfId="1" applyNumberFormat="1" applyFont="1" applyFill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6" fillId="2" borderId="5" xfId="1" applyFont="1" applyFill="1" applyBorder="1" applyAlignment="1">
      <alignment vertical="center" wrapText="1"/>
    </xf>
    <xf numFmtId="0" fontId="6" fillId="2" borderId="5" xfId="1" quotePrefix="1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center" vertical="center" wrapText="1"/>
    </xf>
    <xf numFmtId="0" fontId="3" fillId="2" borderId="5" xfId="1" quotePrefix="1" applyFont="1" applyFill="1" applyBorder="1" applyAlignment="1">
      <alignment horizontal="left" vertical="center" wrapText="1"/>
    </xf>
    <xf numFmtId="164" fontId="6" fillId="2" borderId="5" xfId="1" applyNumberFormat="1" applyFont="1" applyFill="1" applyBorder="1" applyAlignment="1">
      <alignment horizontal="right" vertical="center" wrapText="1"/>
    </xf>
    <xf numFmtId="0" fontId="11" fillId="5" borderId="4" xfId="0" applyFont="1" applyFill="1" applyBorder="1" applyAlignment="1">
      <alignment horizontal="left" vertical="top"/>
    </xf>
    <xf numFmtId="164" fontId="8" fillId="2" borderId="5" xfId="1" applyNumberFormat="1" applyFont="1" applyFill="1" applyBorder="1" applyAlignment="1">
      <alignment vertic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topLeftCell="A4" workbookViewId="0">
      <selection activeCell="J5" sqref="J5"/>
    </sheetView>
  </sheetViews>
  <sheetFormatPr defaultColWidth="8.8984375" defaultRowHeight="18" x14ac:dyDescent="0.35"/>
  <cols>
    <col min="1" max="1" width="6" style="1" customWidth="1"/>
    <col min="2" max="2" width="45.8984375" style="1" customWidth="1"/>
    <col min="3" max="3" width="15.09765625" style="44" customWidth="1"/>
    <col min="4" max="4" width="11.09765625" style="44" customWidth="1"/>
    <col min="5" max="5" width="30.296875" style="1" customWidth="1"/>
    <col min="6" max="6" width="11.296875" style="44" customWidth="1"/>
    <col min="7" max="7" width="36.3984375" style="3" hidden="1" customWidth="1"/>
    <col min="8" max="8" width="24.59765625" style="45" customWidth="1"/>
    <col min="9" max="12" width="8.8984375" style="1" customWidth="1"/>
    <col min="13" max="16384" width="8.8984375" style="1"/>
  </cols>
  <sheetData>
    <row r="1" spans="1:8" ht="42" customHeight="1" collapsed="1" x14ac:dyDescent="0.35">
      <c r="A1" s="47" t="s">
        <v>0</v>
      </c>
      <c r="B1" s="47"/>
      <c r="C1" s="47"/>
      <c r="D1" s="47"/>
      <c r="E1" s="47"/>
      <c r="F1" s="47"/>
      <c r="G1" s="47"/>
      <c r="H1" s="47"/>
    </row>
    <row r="2" spans="1:8" s="2" customFormat="1" ht="15.6" customHeight="1" x14ac:dyDescent="0.3">
      <c r="A2" s="47"/>
      <c r="B2" s="47"/>
      <c r="C2" s="47"/>
      <c r="D2" s="47"/>
      <c r="E2" s="47"/>
      <c r="F2" s="47"/>
      <c r="G2" s="47"/>
      <c r="H2" s="47"/>
    </row>
    <row r="3" spans="1:8" s="2" customFormat="1" ht="18.75" customHeight="1" x14ac:dyDescent="0.3">
      <c r="C3" s="3"/>
      <c r="D3" s="3"/>
      <c r="F3" s="3"/>
      <c r="G3" s="3"/>
      <c r="H3" s="4"/>
    </row>
    <row r="4" spans="1:8" s="2" customFormat="1" ht="36" customHeight="1" x14ac:dyDescent="0.3">
      <c r="A4" s="48" t="s">
        <v>1</v>
      </c>
      <c r="B4" s="5" t="s">
        <v>2</v>
      </c>
      <c r="C4" s="5"/>
      <c r="D4" s="6"/>
      <c r="E4" s="48" t="s">
        <v>3</v>
      </c>
      <c r="F4" s="48"/>
      <c r="G4" s="49" t="s">
        <v>4</v>
      </c>
      <c r="H4" s="48" t="s">
        <v>5</v>
      </c>
    </row>
    <row r="5" spans="1:8" s="2" customFormat="1" ht="72" customHeight="1" x14ac:dyDescent="0.3">
      <c r="A5" s="48"/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0"/>
      <c r="H5" s="48"/>
    </row>
    <row r="6" spans="1:8" s="10" customFormat="1" ht="17.25" customHeight="1" x14ac:dyDescent="0.25">
      <c r="A6" s="7" t="s">
        <v>11</v>
      </c>
      <c r="B6" s="8" t="s">
        <v>12</v>
      </c>
      <c r="C6" s="8"/>
      <c r="D6" s="8" t="s">
        <v>13</v>
      </c>
      <c r="E6" s="8" t="s">
        <v>14</v>
      </c>
      <c r="F6" s="8" t="s">
        <v>15</v>
      </c>
      <c r="G6" s="9"/>
      <c r="H6" s="8" t="s">
        <v>16</v>
      </c>
    </row>
    <row r="7" spans="1:8" s="16" customFormat="1" ht="18.75" customHeight="1" x14ac:dyDescent="0.35">
      <c r="A7" s="11"/>
      <c r="B7" s="12" t="s">
        <v>17</v>
      </c>
      <c r="C7" s="13">
        <f>+C8+C11+C43</f>
        <v>38</v>
      </c>
      <c r="D7" s="14">
        <f>+D8+D11+D43</f>
        <v>35</v>
      </c>
      <c r="E7" s="12"/>
      <c r="F7" s="12"/>
      <c r="G7" s="12"/>
      <c r="H7" s="15"/>
    </row>
    <row r="8" spans="1:8" s="16" customFormat="1" ht="18.75" customHeight="1" x14ac:dyDescent="0.35">
      <c r="A8" s="11" t="s">
        <v>18</v>
      </c>
      <c r="B8" s="17" t="s">
        <v>19</v>
      </c>
      <c r="C8" s="13">
        <v>2</v>
      </c>
      <c r="D8" s="13">
        <v>2</v>
      </c>
      <c r="E8" s="12"/>
      <c r="F8" s="12"/>
      <c r="G8" s="12"/>
      <c r="H8" s="15"/>
    </row>
    <row r="9" spans="1:8" s="24" customFormat="1" ht="18.75" customHeight="1" x14ac:dyDescent="0.3">
      <c r="A9" s="18">
        <v>1</v>
      </c>
      <c r="B9" s="19" t="s">
        <v>20</v>
      </c>
      <c r="C9" s="20">
        <v>1</v>
      </c>
      <c r="D9" s="20">
        <v>1</v>
      </c>
      <c r="E9" s="21" t="s">
        <v>21</v>
      </c>
      <c r="F9" s="22" t="s">
        <v>22</v>
      </c>
      <c r="G9" s="22"/>
      <c r="H9" s="23"/>
    </row>
    <row r="10" spans="1:8" s="24" customFormat="1" ht="18.75" customHeight="1" x14ac:dyDescent="0.3">
      <c r="A10" s="18">
        <v>2</v>
      </c>
      <c r="B10" s="19" t="s">
        <v>23</v>
      </c>
      <c r="C10" s="20">
        <v>1</v>
      </c>
      <c r="D10" s="20">
        <v>1</v>
      </c>
      <c r="E10" s="21" t="s">
        <v>24</v>
      </c>
      <c r="F10" s="22">
        <v>22035</v>
      </c>
      <c r="G10" s="25"/>
      <c r="H10" s="26"/>
    </row>
    <row r="11" spans="1:8" s="16" customFormat="1" ht="18.75" customHeight="1" x14ac:dyDescent="0.35">
      <c r="A11" s="27" t="s">
        <v>25</v>
      </c>
      <c r="B11" s="28" t="s">
        <v>26</v>
      </c>
      <c r="C11" s="29">
        <f>C12+C14+C17+C18+C20</f>
        <v>29</v>
      </c>
      <c r="D11" s="29">
        <f>+SUM(D12:D20)</f>
        <v>26</v>
      </c>
      <c r="E11" s="30"/>
      <c r="F11" s="31"/>
      <c r="G11" s="31"/>
      <c r="H11" s="32"/>
    </row>
    <row r="12" spans="1:8" s="24" customFormat="1" ht="18.75" customHeight="1" x14ac:dyDescent="0.3">
      <c r="A12" s="33">
        <v>3</v>
      </c>
      <c r="B12" s="34" t="s">
        <v>27</v>
      </c>
      <c r="C12" s="35">
        <v>1</v>
      </c>
      <c r="D12" s="35">
        <v>2</v>
      </c>
      <c r="E12" s="36" t="s">
        <v>28</v>
      </c>
      <c r="F12" s="37">
        <v>92210</v>
      </c>
      <c r="G12" s="25" t="s">
        <v>29</v>
      </c>
      <c r="H12" s="26"/>
    </row>
    <row r="13" spans="1:8" s="24" customFormat="1" ht="18.75" customHeight="1" x14ac:dyDescent="0.3">
      <c r="A13" s="33"/>
      <c r="B13" s="34"/>
      <c r="C13" s="35"/>
      <c r="D13" s="35"/>
      <c r="E13" s="36" t="s">
        <v>30</v>
      </c>
      <c r="F13" s="37">
        <v>7041</v>
      </c>
      <c r="G13" s="25"/>
      <c r="H13" s="26"/>
    </row>
    <row r="14" spans="1:8" s="24" customFormat="1" ht="18.75" customHeight="1" x14ac:dyDescent="0.3">
      <c r="A14" s="33">
        <v>4</v>
      </c>
      <c r="B14" s="34" t="s">
        <v>31</v>
      </c>
      <c r="C14" s="35">
        <v>3</v>
      </c>
      <c r="D14" s="35">
        <v>3</v>
      </c>
      <c r="E14" s="36" t="s">
        <v>32</v>
      </c>
      <c r="F14" s="37">
        <v>10016</v>
      </c>
      <c r="G14" s="25" t="s">
        <v>33</v>
      </c>
      <c r="H14" s="26"/>
    </row>
    <row r="15" spans="1:8" s="24" customFormat="1" ht="18.75" customHeight="1" x14ac:dyDescent="0.3">
      <c r="A15" s="33"/>
      <c r="B15" s="34"/>
      <c r="C15" s="35"/>
      <c r="D15" s="35"/>
      <c r="E15" s="36" t="s">
        <v>34</v>
      </c>
      <c r="F15" s="37">
        <v>91137</v>
      </c>
      <c r="G15" s="38"/>
      <c r="H15" s="26" t="s">
        <v>35</v>
      </c>
    </row>
    <row r="16" spans="1:8" s="24" customFormat="1" ht="18.75" customHeight="1" x14ac:dyDescent="0.3">
      <c r="A16" s="33"/>
      <c r="B16" s="34"/>
      <c r="C16" s="35"/>
      <c r="D16" s="35"/>
      <c r="E16" s="36" t="s">
        <v>36</v>
      </c>
      <c r="F16" s="37" t="s">
        <v>37</v>
      </c>
      <c r="G16" s="38"/>
      <c r="H16" s="26"/>
    </row>
    <row r="17" spans="1:8" s="24" customFormat="1" ht="18.75" customHeight="1" x14ac:dyDescent="0.3">
      <c r="A17" s="33">
        <v>5</v>
      </c>
      <c r="B17" s="34" t="s">
        <v>38</v>
      </c>
      <c r="C17" s="35">
        <v>1</v>
      </c>
      <c r="D17" s="35">
        <v>1</v>
      </c>
      <c r="E17" s="36" t="s">
        <v>39</v>
      </c>
      <c r="F17" s="37">
        <v>6109</v>
      </c>
      <c r="G17" s="25" t="s">
        <v>40</v>
      </c>
      <c r="H17" s="26"/>
    </row>
    <row r="18" spans="1:8" s="24" customFormat="1" ht="18.75" customHeight="1" x14ac:dyDescent="0.3">
      <c r="A18" s="33">
        <v>6</v>
      </c>
      <c r="B18" s="34" t="s">
        <v>41</v>
      </c>
      <c r="C18" s="39">
        <v>2</v>
      </c>
      <c r="D18" s="35">
        <v>3</v>
      </c>
      <c r="E18" s="36" t="s">
        <v>42</v>
      </c>
      <c r="F18" s="37">
        <v>23007</v>
      </c>
      <c r="G18" s="40" t="s">
        <v>43</v>
      </c>
      <c r="H18" s="26"/>
    </row>
    <row r="19" spans="1:8" s="24" customFormat="1" ht="18.75" customHeight="1" x14ac:dyDescent="0.3">
      <c r="A19" s="33"/>
      <c r="B19" s="34"/>
      <c r="C19" s="35"/>
      <c r="D19" s="35"/>
      <c r="E19" s="36" t="s">
        <v>44</v>
      </c>
      <c r="F19" s="37">
        <v>22022</v>
      </c>
      <c r="G19" s="25" t="s">
        <v>45</v>
      </c>
      <c r="H19" s="26"/>
    </row>
    <row r="20" spans="1:8" s="24" customFormat="1" ht="18.75" customHeight="1" x14ac:dyDescent="0.3">
      <c r="A20" s="33">
        <v>7</v>
      </c>
      <c r="B20" s="34" t="s">
        <v>46</v>
      </c>
      <c r="C20" s="35">
        <f>SUM(C21:C42)</f>
        <v>22</v>
      </c>
      <c r="D20" s="35">
        <f>SUM(D21:D42)</f>
        <v>17</v>
      </c>
      <c r="E20" s="36"/>
      <c r="F20" s="37"/>
      <c r="G20" s="38"/>
      <c r="H20" s="26"/>
    </row>
    <row r="21" spans="1:8" s="24" customFormat="1" ht="18.75" customHeight="1" x14ac:dyDescent="0.3">
      <c r="A21" s="33"/>
      <c r="B21" s="41" t="s">
        <v>47</v>
      </c>
      <c r="C21" s="35">
        <v>1</v>
      </c>
      <c r="D21" s="35">
        <v>1</v>
      </c>
      <c r="E21" s="36" t="s">
        <v>48</v>
      </c>
      <c r="F21" s="37">
        <v>22205</v>
      </c>
      <c r="G21" s="25" t="s">
        <v>49</v>
      </c>
      <c r="H21" s="26"/>
    </row>
    <row r="22" spans="1:8" s="24" customFormat="1" ht="18.75" customHeight="1" x14ac:dyDescent="0.3">
      <c r="A22" s="33"/>
      <c r="B22" s="41" t="s">
        <v>50</v>
      </c>
      <c r="C22" s="39">
        <v>5</v>
      </c>
      <c r="D22" s="35">
        <v>4</v>
      </c>
      <c r="E22" s="36" t="s">
        <v>51</v>
      </c>
      <c r="F22" s="37">
        <v>23077</v>
      </c>
      <c r="G22" s="25" t="s">
        <v>52</v>
      </c>
      <c r="H22" s="26"/>
    </row>
    <row r="23" spans="1:8" s="24" customFormat="1" ht="18.75" customHeight="1" x14ac:dyDescent="0.3">
      <c r="A23" s="33"/>
      <c r="B23" s="41"/>
      <c r="C23" s="35"/>
      <c r="D23" s="35"/>
      <c r="E23" s="36" t="s">
        <v>53</v>
      </c>
      <c r="F23" s="37">
        <v>7061</v>
      </c>
      <c r="G23" s="25" t="s">
        <v>54</v>
      </c>
      <c r="H23" s="26"/>
    </row>
    <row r="24" spans="1:8" s="24" customFormat="1" ht="18.75" customHeight="1" x14ac:dyDescent="0.3">
      <c r="A24" s="33"/>
      <c r="B24" s="41"/>
      <c r="C24" s="35"/>
      <c r="D24" s="35"/>
      <c r="E24" s="36" t="s">
        <v>55</v>
      </c>
      <c r="F24" s="37">
        <v>10019</v>
      </c>
      <c r="G24" s="25" t="s">
        <v>56</v>
      </c>
      <c r="H24" s="26"/>
    </row>
    <row r="25" spans="1:8" s="24" customFormat="1" ht="18.75" customHeight="1" x14ac:dyDescent="0.3">
      <c r="A25" s="33"/>
      <c r="B25" s="41"/>
      <c r="C25" s="35"/>
      <c r="D25" s="35"/>
      <c r="E25" s="36" t="s">
        <v>57</v>
      </c>
      <c r="F25" s="37">
        <v>10066</v>
      </c>
      <c r="G25" s="25" t="s">
        <v>58</v>
      </c>
      <c r="H25" s="26"/>
    </row>
    <row r="26" spans="1:8" s="24" customFormat="1" ht="18.75" customHeight="1" x14ac:dyDescent="0.3">
      <c r="A26" s="33"/>
      <c r="B26" s="41"/>
      <c r="C26" s="35"/>
      <c r="D26" s="35"/>
      <c r="E26" s="36"/>
      <c r="F26" s="37"/>
      <c r="G26" s="38"/>
      <c r="H26" s="26"/>
    </row>
    <row r="27" spans="1:8" s="24" customFormat="1" ht="18.75" customHeight="1" x14ac:dyDescent="0.3">
      <c r="A27" s="33"/>
      <c r="B27" s="41" t="s">
        <v>59</v>
      </c>
      <c r="C27" s="39">
        <v>4</v>
      </c>
      <c r="D27" s="35">
        <v>3</v>
      </c>
      <c r="E27" s="36" t="s">
        <v>60</v>
      </c>
      <c r="F27" s="37">
        <v>22236</v>
      </c>
      <c r="G27" s="25" t="s">
        <v>61</v>
      </c>
      <c r="H27" s="26"/>
    </row>
    <row r="28" spans="1:8" s="24" customFormat="1" ht="18.75" customHeight="1" x14ac:dyDescent="0.3">
      <c r="A28" s="33"/>
      <c r="B28" s="41"/>
      <c r="C28" s="35"/>
      <c r="D28" s="35"/>
      <c r="E28" s="36" t="s">
        <v>62</v>
      </c>
      <c r="F28" s="37">
        <v>96123</v>
      </c>
      <c r="G28" s="25" t="s">
        <v>63</v>
      </c>
      <c r="H28" s="26"/>
    </row>
    <row r="29" spans="1:8" s="24" customFormat="1" ht="18.75" customHeight="1" x14ac:dyDescent="0.3">
      <c r="A29" s="33"/>
      <c r="B29" s="41"/>
      <c r="C29" s="35"/>
      <c r="D29" s="35"/>
      <c r="E29" s="36" t="s">
        <v>64</v>
      </c>
      <c r="F29" s="37">
        <v>91159</v>
      </c>
      <c r="G29" s="25" t="s">
        <v>65</v>
      </c>
      <c r="H29" s="26"/>
    </row>
    <row r="30" spans="1:8" s="24" customFormat="1" ht="18.75" customHeight="1" x14ac:dyDescent="0.3">
      <c r="A30" s="33"/>
      <c r="B30" s="41"/>
      <c r="C30" s="35"/>
      <c r="D30" s="35"/>
      <c r="E30" s="36"/>
      <c r="F30" s="37"/>
      <c r="G30" s="25"/>
      <c r="H30" s="26"/>
    </row>
    <row r="31" spans="1:8" s="24" customFormat="1" ht="18.75" customHeight="1" x14ac:dyDescent="0.3">
      <c r="A31" s="33"/>
      <c r="B31" s="41" t="s">
        <v>66</v>
      </c>
      <c r="C31" s="39">
        <v>9</v>
      </c>
      <c r="D31" s="35">
        <v>6</v>
      </c>
      <c r="E31" s="36" t="s">
        <v>67</v>
      </c>
      <c r="F31" s="37">
        <v>22237</v>
      </c>
      <c r="G31" s="42" t="s">
        <v>68</v>
      </c>
      <c r="H31" s="26"/>
    </row>
    <row r="32" spans="1:8" s="24" customFormat="1" ht="18.75" customHeight="1" x14ac:dyDescent="0.3">
      <c r="A32" s="33"/>
      <c r="B32" s="41"/>
      <c r="C32" s="35"/>
      <c r="D32" s="35"/>
      <c r="E32" s="36" t="s">
        <v>69</v>
      </c>
      <c r="F32" s="37">
        <v>7085</v>
      </c>
    </row>
    <row r="33" spans="1:8" s="24" customFormat="1" ht="18.75" customHeight="1" x14ac:dyDescent="0.3">
      <c r="A33" s="33"/>
      <c r="B33" s="41"/>
      <c r="C33" s="35"/>
      <c r="D33" s="35"/>
      <c r="E33" s="36" t="s">
        <v>70</v>
      </c>
      <c r="F33" s="37">
        <v>23097</v>
      </c>
      <c r="G33" s="25" t="s">
        <v>71</v>
      </c>
      <c r="H33" s="26"/>
    </row>
    <row r="34" spans="1:8" s="24" customFormat="1" ht="18.75" customHeight="1" x14ac:dyDescent="0.3">
      <c r="A34" s="33"/>
      <c r="B34" s="41"/>
      <c r="C34" s="35"/>
      <c r="D34" s="35"/>
      <c r="E34" s="36" t="s">
        <v>72</v>
      </c>
      <c r="F34" s="37">
        <v>8048</v>
      </c>
      <c r="G34" s="25"/>
      <c r="H34" s="26"/>
    </row>
    <row r="35" spans="1:8" s="24" customFormat="1" ht="18.75" customHeight="1" x14ac:dyDescent="0.3">
      <c r="A35" s="33"/>
      <c r="B35" s="41"/>
      <c r="C35" s="35"/>
      <c r="D35" s="35"/>
      <c r="E35" s="36" t="s">
        <v>73</v>
      </c>
      <c r="F35" s="37">
        <v>16011</v>
      </c>
      <c r="G35" s="25"/>
      <c r="H35" s="26"/>
    </row>
    <row r="36" spans="1:8" s="24" customFormat="1" ht="18.75" customHeight="1" x14ac:dyDescent="0.3">
      <c r="A36" s="33"/>
      <c r="B36" s="41"/>
      <c r="C36" s="35"/>
      <c r="D36" s="35"/>
      <c r="E36" s="36" t="s">
        <v>74</v>
      </c>
      <c r="F36" s="37">
        <v>21032</v>
      </c>
      <c r="G36" s="25" t="s">
        <v>75</v>
      </c>
      <c r="H36" s="26"/>
    </row>
    <row r="37" spans="1:8" s="24" customFormat="1" ht="18.75" customHeight="1" x14ac:dyDescent="0.3">
      <c r="A37" s="33"/>
      <c r="B37" s="41"/>
      <c r="C37" s="35"/>
      <c r="D37" s="35"/>
      <c r="E37" s="36"/>
      <c r="F37" s="37"/>
      <c r="G37" s="25"/>
      <c r="H37" s="26"/>
    </row>
    <row r="38" spans="1:8" s="24" customFormat="1" ht="18.75" customHeight="1" x14ac:dyDescent="0.3">
      <c r="A38" s="33"/>
      <c r="B38" s="41" t="s">
        <v>76</v>
      </c>
      <c r="C38" s="39">
        <v>2</v>
      </c>
      <c r="D38" s="35">
        <v>2</v>
      </c>
      <c r="E38" s="36" t="s">
        <v>77</v>
      </c>
      <c r="F38" s="37">
        <v>5091</v>
      </c>
      <c r="G38" s="25" t="s">
        <v>78</v>
      </c>
      <c r="H38" s="26"/>
    </row>
    <row r="39" spans="1:8" s="24" customFormat="1" ht="18.75" customHeight="1" x14ac:dyDescent="0.3">
      <c r="A39" s="33"/>
      <c r="B39" s="41"/>
      <c r="C39" s="35"/>
      <c r="D39" s="35"/>
      <c r="E39" s="36" t="s">
        <v>79</v>
      </c>
      <c r="F39" s="37">
        <v>20056</v>
      </c>
      <c r="G39" s="38"/>
      <c r="H39" s="26"/>
    </row>
    <row r="40" spans="1:8" s="24" customFormat="1" ht="18.75" customHeight="1" x14ac:dyDescent="0.3">
      <c r="A40" s="33"/>
      <c r="B40" s="41" t="s">
        <v>80</v>
      </c>
      <c r="C40" s="35">
        <v>1</v>
      </c>
      <c r="D40" s="35">
        <v>1</v>
      </c>
      <c r="E40" s="36" t="s">
        <v>81</v>
      </c>
      <c r="F40" s="37">
        <v>6275</v>
      </c>
      <c r="G40" s="38"/>
      <c r="H40" s="26"/>
    </row>
    <row r="41" spans="1:8" s="24" customFormat="1" ht="18.75" customHeight="1" x14ac:dyDescent="0.3">
      <c r="A41" s="33"/>
      <c r="B41" s="41"/>
      <c r="C41" s="35"/>
      <c r="D41" s="35"/>
      <c r="E41" s="36"/>
      <c r="F41" s="37"/>
      <c r="G41" s="38"/>
      <c r="H41" s="26"/>
    </row>
    <row r="42" spans="1:8" s="24" customFormat="1" ht="18.75" customHeight="1" x14ac:dyDescent="0.3">
      <c r="A42" s="33"/>
      <c r="B42" s="41"/>
      <c r="C42" s="35"/>
      <c r="D42" s="35"/>
      <c r="E42" s="36"/>
      <c r="F42" s="37"/>
      <c r="G42" s="38"/>
      <c r="H42" s="26"/>
    </row>
    <row r="43" spans="1:8" s="16" customFormat="1" ht="24" customHeight="1" x14ac:dyDescent="0.35">
      <c r="A43" s="27" t="s">
        <v>25</v>
      </c>
      <c r="B43" s="43" t="s">
        <v>82</v>
      </c>
      <c r="C43" s="29">
        <f>+SUM(C44:C47)</f>
        <v>7</v>
      </c>
      <c r="D43" s="29">
        <f>+SUM(D44:D47)</f>
        <v>7</v>
      </c>
      <c r="E43" s="30"/>
      <c r="F43" s="31"/>
      <c r="G43" s="31"/>
      <c r="H43" s="32"/>
    </row>
    <row r="44" spans="1:8" s="24" customFormat="1" ht="18.75" customHeight="1" x14ac:dyDescent="0.3">
      <c r="A44" s="33">
        <v>1</v>
      </c>
      <c r="B44" s="34" t="s">
        <v>27</v>
      </c>
      <c r="C44" s="35">
        <v>1</v>
      </c>
      <c r="D44" s="35">
        <v>1</v>
      </c>
      <c r="E44" s="36" t="s">
        <v>83</v>
      </c>
      <c r="F44" s="37" t="s">
        <v>84</v>
      </c>
      <c r="G44" s="25" t="s">
        <v>85</v>
      </c>
      <c r="H44" s="26"/>
    </row>
    <row r="45" spans="1:8" s="24" customFormat="1" ht="18.75" customHeight="1" x14ac:dyDescent="0.3">
      <c r="A45" s="33">
        <v>2</v>
      </c>
      <c r="B45" s="34" t="s">
        <v>31</v>
      </c>
      <c r="C45" s="35">
        <v>2</v>
      </c>
      <c r="D45" s="35">
        <v>2</v>
      </c>
      <c r="E45" s="36" t="s">
        <v>86</v>
      </c>
      <c r="F45" s="37"/>
      <c r="G45" s="25" t="s">
        <v>33</v>
      </c>
      <c r="H45" s="26"/>
    </row>
    <row r="46" spans="1:8" s="24" customFormat="1" ht="18.75" customHeight="1" x14ac:dyDescent="0.3">
      <c r="A46" s="33"/>
      <c r="B46" s="34"/>
      <c r="C46" s="35"/>
      <c r="D46" s="35"/>
      <c r="E46" s="36" t="s">
        <v>87</v>
      </c>
      <c r="F46" s="37">
        <v>12056</v>
      </c>
      <c r="G46" s="25" t="s">
        <v>88</v>
      </c>
      <c r="H46" s="26"/>
    </row>
    <row r="47" spans="1:8" s="24" customFormat="1" ht="18.75" customHeight="1" x14ac:dyDescent="0.3">
      <c r="A47" s="33">
        <v>3</v>
      </c>
      <c r="B47" s="34" t="s">
        <v>89</v>
      </c>
      <c r="C47" s="35">
        <v>4</v>
      </c>
      <c r="D47" s="35">
        <v>4</v>
      </c>
      <c r="E47" s="36" t="s">
        <v>90</v>
      </c>
      <c r="F47" s="37">
        <v>21028</v>
      </c>
      <c r="G47" s="25" t="s">
        <v>91</v>
      </c>
      <c r="H47" s="26"/>
    </row>
    <row r="48" spans="1:8" s="24" customFormat="1" ht="18.75" customHeight="1" x14ac:dyDescent="0.3">
      <c r="A48" s="33"/>
      <c r="B48" s="34"/>
      <c r="C48" s="35"/>
      <c r="D48" s="35"/>
      <c r="E48" s="36" t="s">
        <v>92</v>
      </c>
      <c r="F48" s="37">
        <v>23159</v>
      </c>
      <c r="G48" s="25" t="s">
        <v>93</v>
      </c>
      <c r="H48" s="26"/>
    </row>
    <row r="49" spans="1:8" s="24" customFormat="1" ht="18.75" customHeight="1" x14ac:dyDescent="0.3">
      <c r="A49" s="33"/>
      <c r="B49" s="34"/>
      <c r="C49" s="35"/>
      <c r="D49" s="35"/>
      <c r="E49" s="36" t="s">
        <v>94</v>
      </c>
      <c r="F49" s="37">
        <v>5113</v>
      </c>
      <c r="G49" s="25" t="s">
        <v>95</v>
      </c>
      <c r="H49" s="26"/>
    </row>
    <row r="50" spans="1:8" s="24" customFormat="1" ht="18.75" customHeight="1" x14ac:dyDescent="0.3">
      <c r="A50" s="33"/>
      <c r="B50" s="34"/>
      <c r="C50" s="35"/>
      <c r="D50" s="35"/>
      <c r="E50" s="36" t="s">
        <v>96</v>
      </c>
      <c r="F50" s="37">
        <v>16042</v>
      </c>
      <c r="G50" s="25" t="s">
        <v>97</v>
      </c>
      <c r="H50" s="26"/>
    </row>
    <row r="51" spans="1:8" s="24" customFormat="1" ht="18.75" customHeight="1" x14ac:dyDescent="0.3">
      <c r="A51" s="33">
        <v>4</v>
      </c>
      <c r="B51" s="34" t="s">
        <v>98</v>
      </c>
      <c r="C51" s="35">
        <v>1</v>
      </c>
      <c r="D51" s="35">
        <v>0</v>
      </c>
      <c r="E51" s="36"/>
      <c r="F51" s="37"/>
      <c r="G51" s="38"/>
      <c r="H51" s="26"/>
    </row>
    <row r="52" spans="1:8" ht="15" customHeight="1" x14ac:dyDescent="0.35"/>
    <row r="53" spans="1:8" x14ac:dyDescent="0.35">
      <c r="F53" s="51" t="s">
        <v>99</v>
      </c>
      <c r="G53" s="51"/>
      <c r="H53" s="51"/>
    </row>
    <row r="57" spans="1:8" x14ac:dyDescent="0.35">
      <c r="F57" s="46" t="s">
        <v>21</v>
      </c>
      <c r="G57" s="46"/>
      <c r="H57" s="46"/>
    </row>
  </sheetData>
  <mergeCells count="7">
    <mergeCell ref="F57:H57"/>
    <mergeCell ref="A1:H2"/>
    <mergeCell ref="A4:A5"/>
    <mergeCell ref="E4:F4"/>
    <mergeCell ref="G4:G5"/>
    <mergeCell ref="H4:H5"/>
    <mergeCell ref="F53:H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>Dương Đình Đăng</cp:lastModifiedBy>
  <dcterms:created xsi:type="dcterms:W3CDTF">2026-06-17T08:01:11Z</dcterms:created>
  <dcterms:modified xsi:type="dcterms:W3CDTF">2026-06-17T08:05:05Z</dcterms:modified>
</cp:coreProperties>
</file>